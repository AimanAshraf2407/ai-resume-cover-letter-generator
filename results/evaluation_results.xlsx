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Resume Evaluation" sheetId="2" state="visible" r:id="rId2"/>
    <sheet name="Cover Letter Evaluation" sheetId="3" state="visible" r:id="rId3"/>
    <sheet name="Job Matching" sheetId="4" state="visible" r:id="rId4"/>
    <sheet name="Summary" sheetId="5" state="visible" r:id="rId5"/>
    <sheet name="Evaluation Guid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9" customWidth="1" min="1" max="1"/>
    <col width="38" customWidth="1" min="2" max="2"/>
    <col width="34" customWidth="1" min="3" max="3"/>
    <col width="50" customWidth="1" min="4" max="4"/>
    <col width="50" customWidth="1" min="5" max="5"/>
    <col width="50" customWidth="1" min="6" max="6"/>
    <col width="50" customWidth="1" min="7" max="7"/>
    <col width="50" customWidth="1" min="8" max="8"/>
    <col width="25" customWidth="1" min="9" max="9"/>
    <col width="28" customWidth="1" min="10" max="10"/>
    <col width="28" customWidth="1" min="11" max="11"/>
  </cols>
  <sheetData>
    <row r="1">
      <c r="A1" s="1" t="inlineStr">
        <is>
          <t>Test ID</t>
        </is>
      </c>
      <c r="B1" s="1" t="inlineStr">
        <is>
          <t>Scenario</t>
        </is>
      </c>
      <c r="C1" s="1" t="inlineStr">
        <is>
          <t>Source ID</t>
        </is>
      </c>
      <c r="D1" s="1" t="inlineStr">
        <is>
          <t>Category</t>
        </is>
      </c>
      <c r="E1" s="1" t="inlineStr">
        <is>
          <t>Resume Text</t>
        </is>
      </c>
      <c r="F1" s="1" t="inlineStr">
        <is>
          <t>Job Description</t>
        </is>
      </c>
      <c r="G1" s="1" t="inlineStr">
        <is>
          <t>Required Skills</t>
        </is>
      </c>
      <c r="H1" s="1" t="inlineStr">
        <is>
          <t>Resume Skills</t>
        </is>
      </c>
      <c r="I1" s="1" t="inlineStr">
        <is>
          <t>Baseline AI Match Score</t>
        </is>
      </c>
      <c r="J1" s="1" t="inlineStr">
        <is>
          <t>Baseline Skill Match Score</t>
        </is>
      </c>
      <c r="K1" s="1" t="inlineStr">
        <is>
          <t>Baseline Fuzzy Match Score</t>
        </is>
      </c>
    </row>
    <row r="2">
      <c r="A2" s="2" t="inlineStr">
        <is>
          <t>T01</t>
        </is>
      </c>
      <c r="B2" s="2" t="inlineStr">
        <is>
          <t>Strong resume - matching job</t>
        </is>
      </c>
      <c r="C2" s="2" t="inlineStr">
        <is>
          <t>33176873</t>
        </is>
      </c>
      <c r="D2" s="2" t="inlineStr">
        <is>
          <t>HR</t>
        </is>
      </c>
      <c r="E2" s="2" t="inlineStr">
        <is>
          <t xml:space="preserve">         HR DIRECTOR       Summary      Over 20 years experience in recruiting,   15 plus years in Human Resources Executive Management,   5 years of HRIS development and maintenance  4 years working in a Healthcare Enviroment        Skills          Recruiting  FMLA/EEO/FLSA   HRIS Development      Benefit Administration  Policy Development  Web Page Development             Accomplishments      Kansas Health Institute -Health Outcomes for the State of Kansas -1999 
Memberships and Accolades: Project Management Institute Member, SHRM, Chamber of Commerce, 1999 Friends University President's Honor Roll, 1997 Friends University Dean's Honor Roll, Student Liaison for Friends University Topeka (member of Mother-To-Mother, member of the Topeka 
Advertising Federation, several production pieces created nominated for ADDY Awards, received recognition for outstanding customer service assistance by the State of Kansas Travel and Tourism Department., ASHHRA, KAHHR, ACM.  Additional Information: 
Leading Change -I have been instrumental in development and implementation of the Adjutant General's Retention Research project, involving survey development and analyzing the results of the surveys to present to the Adjutant General to help retain the qualified talent of the Departments.  I have been tasked with working with the Federal Security Manager for the Joint Forces Headquarters in developing policies, procedures and processes to ensure that all current and new State Employees have the appropriate security clearances for the position held per the Federal Government Requirements.  While at LMIS, I lead the Job Vacancy Project and was able to produce results in less time and man hours than in years before with staff that were inexperienced in the JVC process and procedures.  I have been responsible to develop, plan and implement database programs, for the last three positions I have held.  These were designed to cultivate, involve, renew contact, and promote active and potential employees.  These databases were used for reporting FTE usage, budget management and turnover reports.  While working in the healthcare field, I took the initiative in creating a local website that was used to receive and respond to requests for information and assistance in marketing and promoting the healthcare facility along with recruitment of potential employees.  As Human Resource Coordinator in the healthcare field, I managed the front office personnel, reduced contract labor costs for nursing staff and implemented a unique pay structure to increase PRN staff utilization.  I continually think "Outside-the-box" to create and develop strategies to resolve issues faced in my work environment.  In my current position, I have met and exceeded all hiring goals for the firm.  This resulted in our client increasing the business transferred to our location.        Experience      HR Director   09/2016   to   Current     Company Name   City  ,   State       Developed New Website for Agency, payroll processing changes, and implementation of
new HRIS System.   Oversaw the employment process taking the lead role in clinician, physician and management
team recruitment initiatives.
  Developed, maintain
and interpret HR policy. Authored the Employee Handbook.
Provided coaching
and support to management and supervisors on performance management and other
related issues. 
  Maintained in-depth
knowledge of legal requirements related to day-to-day management of employees,
reducing legal risks and ensuring regulatory compliance.   Evaluated and
recommend changes to the employee benefits plan. Oversaw day to day
administration of benefits.            HR Director   04/2009   to   09/2016     Company Name   City  ,   State       Develped Supervisory Education, SHRO Website, SHRO HRIS System and Automation of payroll processing.  Established and directed a comprehensive statewide human resource program for both classified and unclassified State employees/positions in the Adjutant General's Department.  Resolved non-routine HR related issues associated as they arose; reviewed documents and approved all hires and promotions; reviews and approved, modified and/or disapproved wage/salary requests to hire individuals above the pre-established minimum classified or unclassified pay rate,   Reviewed any significant changes to position descriptions and determined if reclassification should be pursued; reviewed position descriptions for new positions and determined the appropriate wage range based on comparable classified position (if they exist),   Consulted with the TAG and both military and state manager/ supervisors in order to provide technical and common sense guidance on properly addressing sensitive or complex employee and organizational issues; aided them in achieving their ever changing program goals and provided innovative ideas for staffing;             Served as the administration's management representative in labor negotiations with the local KAPE unit at the 190th Fire Department.          HR Manager/Sr. Recruiter   10/2003   to   06/2006     Company Name   City  ,   State       Created an HRIS tracking system used for recruitment.  Responsible for Ramp up and hiring of all customer service agents, and other positions as needed.  Placement and development of all advertising 
Met and exceeded all hiring goals. Responsible for Hiring Senior Management to cover such duties as: Team Managers, Payroll, Quality Control.  Responsible for recruitment of 950 new employees, meeting and exceeded goals set.  Coordinated and facilitated manpower planning, recruitment and retention, career development and training, staff relations, compensation and benefits, compliance with local, state and federal statutory regulations, public programs, and regulatory audit procedures.  Served as a resource person to administration, mid-level management and staff regarding HR related.          Human Resources Coordinator   03/1996   to   02/2000     Company Name   City  ,   State       Developed HRIS database from ground up for employee records and monitoring.  Instrumental in reducing the use of Agency Staffing needs for hospital.  Coordinated and facilitates manpower planning, recruitment and retention, career development and training, staff relations, compensation and benefits, compliance with local, state and federal statutory regulations, public programs, and regulatory audit procedures.  Served as the HR resource source for administration, mid-level management and staff.  Coordinated hiring procedures, appraisals, pay increases, promotions, transfers, terminations, job postings, and all corrective actions;  One Person Office, responsible for all OSHA, Work Comp, Benefits, payroll, etc.          Education and Training      Master's Degree  :   Information Management Systems   05/2005       Friends University   City  ,   State  ,   United States     3.5 Credits Earned: 62 Semester hours Information Management Systems        Bachelor of Science  :   Organizational Management   05/2000       Friends University   City  ,   State  ,   United States      4.0 Credits Earned: 62 Semester hours             Activities and Honors    Topeka Chamber of Commerce -Ambassador 
Kansas Hospital Association -Health Care Human Resources Member 
SHRM -Legislative Liaison      Skills      Desktop Publishing,   Newsletter productions,   DATABASE Management,   Leadership 
Training,  OSHA, FMLA, 
Workers Compensation.   PageMaker,   Agency Automation, back-up,   Benefits,  Budget management,  Corel Suite,   Harvard Graphics,  Access, Excel, Microsoft Publisher, MS Word,    Quark Express, Quattro Pro,   Strategic Planning,    Web page development,   WordPerfect     </t>
        </is>
      </c>
      <c r="F2" s="2" t="inlineStr">
        <is>
          <t xml:space="preserve">Human Resources Business Partner
----------------------------------------
We are seeking an experienced Human Resources Business Partner to serve as a strategic advisor to leadership teams while managing the full employee lifecycle. This role requires a dynamic professional who can balance strategic HR initiatives with hands-on operational support, fostering a positive workplace culture and driving organizational effectiveness. You will work closely with department heads to align HR strategies with business objectives, manage talent acquisition and retention programs, and ensure compliance with employment laws and regulations. The ideal candidate will have exceptional interpersonal skills, strong business acumen, and the ability to influence at all levels of the organization.
----------------------------------------
* Bachelor's degree in Human Resources, Business Administration, Psychology, or related field; Master's degree or MBA preferred
* Minimum 5-7 years of progressive HR experience with at least 3 years in a business partner or strategic HR role
* Professional HR certification such as SHRM-CP, SHRM-SCP, PHR, or SPHR strongly preferred
* Deep knowledge of employment law, HR best practices, and current trends in talent management and organizational development
* Proven experience managing full-cycle recruitment processes and building effective talent acquisition strategies
* Strong business acumen with ability to understand financial statements, business models, and organizational dynamics
* Exceptional interpersonal and communication skills with ability to build trust and influence stakeholders at all organizational levels
* Demonstrated experience with HRIS systems and HR analytics tools; proficiency in Microsoft Office Suite required
* Strong problem-solving and critical thinking abilities with a solutions-oriented mindset
* Ability to handle sensitive and confidential information with discretion and maintain high ethical standards
* Experience leading change management initiatives and supporting organizations through periods of transformation
* Project management skills with ability to manage multiple priorities and deadlines simultaneously
----------------------------------------
* Partner with business leaders to understand organizational goals and develop HR strategies that support achievement of business objectives
* Lead talent acquisition efforts including workforce planning, recruitment strategy development, candidate screening, interviewing, and onboarding processes
* Design and implement comprehensive employee development programs including training initiatives, succession planning, and career progression frameworks
* Manage employee relations issues by conducting thorough investigations, providing coaching to managers, mediating conflicts, and recommending appropriate solutions
* Develop and maintain compensation and benefits programs that are competitive, equitable, and aligned with organizational budget and market standards
* Drive performance management processes including goal setting, mid-year reviews, annual evaluations, and performance improvement plans
* Ensure compliance with federal, state, and local employment laws and regulations including FMLA, ADA, FLSA, and EEO requirements
* Analyze HR metrics and workforce data to identify trends, develop insights, and make data-driven recommendations to leadership
* Lead organizational change management initiatives including restructuring, mergers, acquisitions, and cultural transformation projects
* Develop and implement employee engagement strategies including surveys, feedback mechanisms, recognition programs, and retention initiatives
</t>
        </is>
      </c>
      <c r="G2" s="2" t="inlineStr">
        <is>
          <t>['human resources management', 'talent acquisition', 'employment law compliance', 'employee relations', 'performance management', 'compensation and benefits', 'HRIS systems', 'HR analytics', 'organizational development', 'change management', 'project management', 'training and development', 'succession planning', 'business acumen', 'data analysis', 'Microsoft Office Suite', 'interpersonal skills', 'communication', 'influencing', 'problem solving', 'critical thinking', 'ethical judgment', 'confidentiality', 'teamwork']</t>
        </is>
      </c>
      <c r="H2" s="2" t="inlineStr">
        <is>
          <t>['recruiting', 'fmla', 'eeo', 'flsa', 'hris development', 'benefit administration', 'policy development', 'web page development', 'database management', 'osha', 'workers compensation', 'budget management', 'strategic planning', 'desktop publishing', 'newsletter production', 'microsoft excel', 'microsoft word', 'microsoft publisher', 'corel suite', 'access', 'quattro pro', 'pagemaker', 'harvard graphics', 'quark express', 'leadership', 'coaching', 'performance management', 'communication', 'problem solving', 'teamwork', 'analytical thinking', 'change management', 'negotiation', 'customer service']</t>
        </is>
      </c>
      <c r="I2" s="2" t="n">
        <v>100</v>
      </c>
      <c r="J2" s="2" t="n">
        <v>20.83</v>
      </c>
      <c r="K2" s="2" t="n">
        <v>61.89</v>
      </c>
    </row>
    <row r="3">
      <c r="A3" s="2" t="inlineStr">
        <is>
          <t>T02</t>
        </is>
      </c>
      <c r="B3" s="2" t="inlineStr">
        <is>
          <t>Weak resume - low matching job</t>
        </is>
      </c>
      <c r="C3" s="2" t="inlineStr">
        <is>
          <t>12632728</t>
        </is>
      </c>
      <c r="D3" s="2" t="inlineStr">
        <is>
          <t>BUSINESS-DEVELOPMENT</t>
        </is>
      </c>
      <c r="E3" s="2" t="inlineStr">
        <is>
          <t>                     </t>
        </is>
      </c>
      <c r="F3" s="2" t="inlineStr">
        <is>
          <t xml:space="preserve">Business Development Director
----------------------------------------
We are seeking a strategic and results-oriented Business Development Director to drive revenue growth, expand market presence, and build lasting client relationships. This senior leadership role requires a dynamic professional who can identify new business opportunities, develop go-to-market strategies, lead sales initiatives, and forge strategic partnerships. You will be responsible for developing and executing comprehensive business development plans, managing key accounts, leading cross-functional teams, and contributing to overall company strategy. The ideal candidate will have a proven track record of exceeding revenue targets, exceptional relationship-building skills, and deep understanding of market dynamics and competitive landscapes.
----------------------------------------
* Bachelor's degree in Business, Marketing, or related field; MBA or advanced degree strongly preferred
* Minimum 8-10 years of progressive business development, sales, or account management experience with proven track record of exceeding revenue targets
* Demonstrated success closing complex, high-value deals with enterprise clients in competitive markets
* Strong understanding of sales methodologies, business development best practices, and consultative selling approaches
* Exceptional relationship-building and networking skills with ability to establish credibility and trust with C-level executives and decision-makers
* Strategic thinking abilities with capacity to analyze markets, identify opportunities, and develop innovative growth strategies
* Excellent communication and presentation skills with ability to articulate complex value propositions and influence stakeholders at all levels
* Strong business acumen with understanding of financial statements, pricing strategies, and business model development
* Experience managing and negotiating complex contracts, partnership agreements, and multi-stakeholder deals
* Proven leadership abilities with experience building, managing, and developing high-performing business development teams
* Proficiency with CRM systems (Salesforce, HubSpot) and business intelligence tools for pipeline management and performance tracking
* Industry-specific knowledge and established network in relevant sectors preferred
* Results-oriented mindset with strong work ethic, resilience, and ability to thrive in dynamic, fast-paced environments
* Willingness to travel extensively (up to 50%) to meet clients, attend events, and support business development initiatives
* Strong problem-solving skills with ability to overcome objections, navigate complex organizational structures, and close challenging deals
----------------------------------------
* Develop and implement comprehensive business development strategy aligned with company vision, revenue targets, and market expansion goals
* Identify and evaluate new business opportunities, market segments, and geographic regions for potential growth and revenue generation
* Build and maintain strong relationships with key decision-makers, C-level executives, and strategic partners to drive business opportunities
* Lead complex sales cycles from prospecting and qualification through proposal development, negotiation, and contract closure
* Develop compelling value propositions, presentations, and proposals that articulate company capabilities and differentiate from competitors
* Conduct comprehensive market research and competitive analysis to identify trends, opportunities, and threats in target markets
* Collaborate with marketing, product, and operations teams to develop go-to-market strategies, positioning, and sales enablement materials
* Negotiate high-value contracts and partnership agreements, ensuring favorable terms while building long-term mutually beneficial relationships
* Manage strategic accounts and key client relationships, ensuring exceptional service delivery, identifying upsell opportunities, and driving account growth
* Develop accurate sales forecasts, pipeline reports, and business performance metrics, providing regular updates to executive leadership
* Build, lead, and mentor business development team members, setting clear objectives, providing coaching, and fostering professional growth
* Represent company at industry conferences, trade shows, networking events, and speaking engagements to enhance brand visibility and generate leads
* Establish and track key performance indicators for business development activities, analyzing data to optimize strategies and improve results
* Collaborate with finance and legal teams on pricing strategies, contract terms, risk assessment, and deal structuring for complex opportunities
</t>
        </is>
      </c>
      <c r="G3" s="2" t="inlineStr">
        <is>
          <t>['business development', 'sales', 'account management', 'strategic planning', 'market research', 'competitive analysis', 'contract negotiation', 'CRM systems', 'business intelligence tools', 'financial acumen', 'pricing strategies', 'proposal development', 'pipeline management', 'sales forecasting', 'partnership management', 'go-to-market strategy', 'leadership', 'team management', 'presentation skills', 'deal closing', 'relationship building', 'networking', 'communication', 'strategic thinking', 'influence', 'problem solving', 'resilience', 'work ethic', 'mentoring', 'collaboration']</t>
        </is>
      </c>
      <c r="H3" s="2" t="inlineStr">
        <is>
          <t>['python', 'java', 'c++', 'sql', 'html', 'css', 'javascript', 'machine learning', 'data analysis', 'cloud computing', 'git', 'docker', 'agile', 'scrum', 'teamwork', 'communication', 'problem solving', 'adaptability', 'time management', 'leadership', 'critical thinking', 'creativity']</t>
        </is>
      </c>
      <c r="I3" s="2" t="n">
        <v>0</v>
      </c>
      <c r="J3" s="2" t="n">
        <v>10</v>
      </c>
      <c r="K3" s="2" t="n">
        <v>50.7</v>
      </c>
    </row>
    <row r="4">
      <c r="A4" s="2" t="inlineStr">
        <is>
          <t>T03</t>
        </is>
      </c>
      <c r="B4" s="2" t="inlineStr">
        <is>
          <t>High skill match</t>
        </is>
      </c>
      <c r="C4" s="2" t="inlineStr">
        <is>
          <t xml:space="preserve">		       "</t>
        </is>
      </c>
      <c r="D4" s="2" t="inlineStr">
        <is>
          <t>['culinary expertise', 'menu development', 'food cost management', 'food safety regulations', 'HACCP principles', 'kitchen management software', 'inventory control', 'recipe creation', 'cooking techniques', 'dietary requirements knowledge', 'ServSafe Manager certification', 'kitchen operations management', 'staff training', 'budget management', 'quality control', 'ingredient sourcing', 'kitchen equipment maintenance', 'leadership', 'team management', 'creativity', 'communication', 'organizational skills', 'time management', 'mentoring', 'problem solving', 'flexibility', 'attention to detail', 'motivation']</t>
        </is>
      </c>
      <c r="E4" s="2" t="inlineStr">
        <is>
          <t xml:space="preserve">Culinary Chef de Cuisine
----------------------------------------
We are seeking a talented and passionate Culinary Chef de Cuisine to lead our kitchen operations and create exceptional dining experiences through innovative cuisine and culinary excellence. This senior leadership role requires a skilled culinary professional who can oversee menu development, manage kitchen staff, maintain food quality standards, and drive operational efficiency. You will be responsible for creating innovative dishes, managing food costs, ensuring health and safety compliance, and leading a high-performing culinary team. The ideal candidate will have extensive culinary expertise, proven leadership abilities, creative vision, and unwavering commitment to culinary excellence and guest satisfaction.
----------------------------------------
* Culinary degree from accredited culinary school or equivalent combination of formal culinary training and professional experience
* Minimum 8-10 years of professional culinary experience with at least 3-5 years in executive chef or chef de cuisine role
* Extensive knowledge of classical and contemporary cooking techniques, international cuisines, and modern culinary trends
* Proven track record of menu development, recipe creation, and culinary innovation in upscale dining environments
* Strong leadership and team management skills with ability to inspire, motivate, and develop diverse culinary teams
* Comprehensive understanding of food cost management, inventory control, and kitchen financial operations
* Expert knowledge of food safety regulations, HACCP principles, and health department requirements
* Excellent palate with refined sense of flavor profiles, seasoning, and ability to create balanced, memorable dishes
* Strong organizational and time management skills with ability to manage high-volume service and multiple stations simultaneously
* Experience with various dietary requirements including vegetarian, vegan, gluten-free, and allergen considerations
* Proficiency with kitchen management software, ordering systems, and inventory tracking applications
* Creativity and artistic vision for menu development, dish presentation, and culinary storytelling
* Physical stamina to work long hours standing, in hot environments, and performing physically demanding kitchen tasks
* Strong communication skills for effective interaction with kitchen staff, service team, management, and occasionally guests
* ServSafe Manager certification or equivalent food safety certification required
* Flexibility to work evenings, weekends, holidays, and adjust schedule based on restaurant operational needs
----------------------------------------
* Design and develop innovative, seasonal menus that reflect culinary trends, showcase local ingredients, and align with restaurant concept and guest preferences
* Oversee all kitchen operations including food preparation, cooking, plating, and quality control to ensure consistent excellence in every dish
* Lead, mentor, and develop kitchen team including sous chefs, line cooks, and prep cooks, providing training, feedback, and career development opportunities
* Create standardized recipes with detailed specifications for ingredients, portions, preparation methods, and presentation to ensure consistency
* Manage food ordering, inventory control, and supplier relationships to ensure quality ingredients while optimizing food costs and minimizing waste
* Develop and manage kitchen budget, monitor food costs, labor expenses, and operational costs to achieve financial targets and profitability goals
* Ensure strict adherence to food safety standards, sanitation protocols, and health department regulations, maintaining safe and clean kitchen environment
* Coordinate with front-of-house management to ensure seamless service execution, address guest feedback, and accommodate special dietary requirements
* Conduct regular tastings and quality checks throughout service to maintain high standards for flavor, temperature, texture, and presentation
* Stay current on culinary trends, new cooking techniques, ingredient innovations, and competitive restaurant offerings to maintain creative edge
* Manage kitchen equipment maintenance, ensuring proper functioning, scheduling repairs, and implementing preventive maintenance programs
* Develop and implement systems for efficient kitchen workflow, station organization, and service timing to optimize productivity during peak periods
* Collaborate with restaurant management on special events, wine pairings, tasting menus, and promotional offerings
* Train staff on proper food handling, knife skills, cooking techniques, and presentation standards to elevate overall team capabilities
</t>
        </is>
      </c>
      <c r="F4" s="2" t="inlineStr">
        <is>
          <t>CHEF</t>
        </is>
      </c>
      <c r="G4" s="2" t="inlineStr">
        <is>
          <t>['food safety', 'menu planning', 'inventory management', 'cost control', 'recipe development', 'staff training', 'cooking techniques', 'sanitation practices', 'customer service', 'p&amp;l management', 'catering', 'food presentation', 'nutritional standards', 'bar management', 'liquor regulations', 'equipment maintenance', 'financial transactions', 'employee scheduling', 'food preparation', 'special dietary needs', 'banquet management', 'leadership', 'communication', 'problem solving', 'teamwork', 'interpersonal skills', 'creativity', 'adaptability', 'time management', 'customer focus', 'conflict resolution', 'collaboration', 'attention to detail', 'positive attitude', 'initiative', 'organizational skills']</t>
        </is>
      </c>
      <c r="H4" s="2" t="inlineStr">
        <is>
          <t>['culinary expertise', 'menu development', 'food cost management', 'food safety regulations', 'inventory control', 'recipe creation', 'cooking techniques', 'dietary requirements knowledge', 'ServSafe Manager certification', 'kitchen operations management', 'staff training', 'budget management', 'quality control', 'ingredient sourcing', 'kitchen equipment maintenance', 'leadership', 'team management', 'creativity', 'communication', 'organizational skills', 'time management', 'mentoring', 'problem solving', 'flexibility', 'attention to detail', 'motivation']</t>
        </is>
      </c>
      <c r="I4" s="2" t="n">
        <v>32.14</v>
      </c>
      <c r="J4" s="2" t="n">
        <v>73.03</v>
      </c>
      <c r="K4" s="2" t="n">
        <v/>
      </c>
    </row>
    <row r="5">
      <c r="A5" s="2" t="inlineStr">
        <is>
          <t>T04</t>
        </is>
      </c>
      <c r="B5" s="2" t="inlineStr">
        <is>
          <t>Low skill match</t>
        </is>
      </c>
      <c r="C5" s="2" t="inlineStr">
        <is>
          <t>19336728</t>
        </is>
      </c>
      <c r="D5" s="2" t="inlineStr">
        <is>
          <t>HR</t>
        </is>
      </c>
      <c r="E5" s="2" t="inlineStr">
        <is>
          <t xml:space="preserve">         HR ASSISTANT INTERN       Summary     New graduate seeking work as a Counselor able to facilitate both individual and group therapy sessions to help participants overcome obstacles. Detail-oriented with superior interpersonal skills.        Skills          High energy  Sound judgment   Compassionate  Conflict resolution training  Exceptional problem solver  Excellent communication skills        Excellent writing skills  Customer service skills  Proficiency in Microsoft Excel, Word, PowerPoint and the Internet            Experience      HR Assistant Intern  ,   Company Name  ,   February 2016  -  March 2016    City  ,   State     Provide administrative support to the Human Resources Director.  Verify I-9 documentation for new hires.  Submit the online investigation requests and assists with new employee background checks.  Update HR spreadsheet with employee change requests and process paperwork.         Owner, Operator  ,   Company Name  ,   August 2012  -  Current    City  ,   State     Managed fashion retail store independently.  Provided professional support to staff.  Assisted retail store in exhibiting innovative products.         Preservation Technician I  ,   Company Name  ,   October 2004  -  May 2013    City  ,   State     Responsible for the assembly of fabricated phase boxes, portfolios and custom enclosures for protecting historic and fragile library materials.  Performed archival sound repairs for books and pamphlets which included: rebinding books in the original covers (recasing).  Prepared and submitted books for additional processing at the bindery.  Designed complex enclosures for special projects.         Education and Training      Bachelors of Art    Organizational Leadership  ,   ,   Cleveland State University  ,           April 2018   Organizational Leadership       Associate Degree      Bryant &amp; Stratton College  ,   ,   City    State      April, 2016          EMT Certification      Cuyahoga Community College  ,   ,   City    State      2003          Skills    administrative support, repairs, spreadsheet     </t>
        </is>
      </c>
      <c r="F5" s="2" t="inlineStr">
        <is>
          <t xml:space="preserve">Human Resources Business Partner
----------------------------------------
We are seeking an experienced Human Resources Business Partner to serve as a strategic advisor to leadership teams while managing the full employee lifecycle. This role requires a dynamic professional who can balance strategic HR initiatives with hands-on operational support, fostering a positive workplace culture and driving organizational effectiveness. You will work closely with department heads to align HR strategies with business objectives, manage talent acquisition and retention programs, and ensure compliance with employment laws and regulations. The ideal candidate will have exceptional interpersonal skills, strong business acumen, and the ability to influence at all levels of the organization.
----------------------------------------
* Bachelor's degree in Human Resources, Business Administration, Psychology, or related field; Master's degree or MBA preferred
* Minimum 5-7 years of progressive HR experience with at least 3 years in a business partner or strategic HR role
* Professional HR certification such as SHRM-CP, SHRM-SCP, PHR, or SPHR strongly preferred
* Deep knowledge of employment law, HR best practices, and current trends in talent management and organizational development
* Proven experience managing full-cycle recruitment processes and building effective talent acquisition strategies
* Strong business acumen with ability to understand financial statements, business models, and organizational dynamics
* Exceptional interpersonal and communication skills with ability to build trust and influence stakeholders at all organizational levels
* Demonstrated experience with HRIS systems and HR analytics tools; proficiency in Microsoft Office Suite required
* Strong problem-solving and critical thinking abilities with a solutions-oriented mindset
* Ability to handle sensitive and confidential information with discretion and maintain high ethical standards
* Experience leading change management initiatives and supporting organizations through periods of transformation
* Project management skills with ability to manage multiple priorities and deadlines simultaneously
----------------------------------------
* Partner with business leaders to understand organizational goals and develop HR strategies that support achievement of business objectives
* Lead talent acquisition efforts including workforce planning, recruitment strategy development, candidate screening, interviewing, and onboarding processes
* Design and implement comprehensive employee development programs including training initiatives, succession planning, and career progression frameworks
* Manage employee relations issues by conducting thorough investigations, providing coaching to managers, mediating conflicts, and recommending appropriate solutions
* Develop and maintain compensation and benefits programs that are competitive, equitable, and aligned with organizational budget and market standards
* Drive performance management processes including goal setting, mid-year reviews, annual evaluations, and performance improvement plans
* Ensure compliance with federal, state, and local employment laws and regulations including FMLA, ADA, FLSA, and EEO requirements
* Analyze HR metrics and workforce data to identify trends, develop insights, and make data-driven recommendations to leadership
* Lead organizational change management initiatives including restructuring, mergers, acquisitions, and cultural transformation projects
* Develop and implement employee engagement strategies including surveys, feedback mechanisms, recognition programs, and retention initiatives
</t>
        </is>
      </c>
      <c r="G5" s="2" t="inlineStr">
        <is>
          <t>['human resources management', 'talent acquisition', 'employment law compliance', 'employee relations', 'performance management', 'compensation and benefits', 'HRIS systems', 'HR analytics', 'organizational development', 'change management', 'project management', 'training and development', 'succession planning', 'business acumen', 'data analysis', 'Microsoft Office Suite', 'interpersonal skills', 'communication', 'influencing', 'problem solving', 'critical thinking', 'ethical judgment', 'confidentiality', 'teamwork']</t>
        </is>
      </c>
      <c r="H5" s="2" t="inlineStr">
        <is>
          <t>['microsoft excel', 'microsoft word', 'microsoft powerpoint', 'i-9 documentation', 'background checks', 'administrative support', 'repairs', 'spreadsheets', 'high energy', 'sound judgment', 'compassionate', 'conflict resolution', 'exceptional problem solver', 'excellent communication', 'excellent writing', 'customer service']</t>
        </is>
      </c>
      <c r="I5" s="2" t="n">
        <v>37.13</v>
      </c>
      <c r="J5" s="2" t="n">
        <v>0</v>
      </c>
      <c r="K5" s="2" t="n">
        <v>51.23</v>
      </c>
    </row>
    <row r="6">
      <c r="A6" s="2" t="inlineStr">
        <is>
          <t>T05</t>
        </is>
      </c>
      <c r="B6" s="2" t="inlineStr">
        <is>
          <t>High fuzzy matching</t>
        </is>
      </c>
      <c r="C6" s="2" t="inlineStr">
        <is>
          <t>11522068</t>
        </is>
      </c>
      <c r="D6" s="2" t="inlineStr">
        <is>
          <t>FITNESS</t>
        </is>
      </c>
      <c r="E6" s="2" t="inlineStr">
        <is>
          <t xml:space="preserve">         GROUP FITNESS INSTRUCTOR           Executive Summary     To obtain a position as an experienced Training and Development professional with strong leadership and relationship-building skills.       Core Qualifications          Team Building  Team Leadership  Communication Skills  Planning  Organizational Skills              Professional Experience      Group Fitness Instructor    March 2014   to   April 2014     Company Name          An 8 week course getting trained in fitness classes to instruct group exercises for the on campus gym.          Assistant    November 2011   to   June 2013             An Assistant    June 2011   to   June 2011     Company Name          at an after school program called AlphaBEST.  Provided children from the grades K-5 a safe and friendly place to be after school hours.  Introduced fun and exciting new ways to learn outside of the classroom with student centers and interactive activities.  Mentored inner city children in New York City providing them with love and attention.          Company Name          Served with my sisters in a Christian Sorority serving Texas Tech and our community in Lubbock, TX.          Education          06/2012    Centennial High School          GPA:   GPA: 3.98    Full time student and athlete all four years. GPA: 3.98            5/2013    Collin College          Full time student taking my basic courses. 
Texas Tech        Languages    Speak and read basic Spanish        Skills    basic, Coach, Human Resource, Leadership, read, Spanish, Teaching, Time Management   </t>
        </is>
      </c>
      <c r="F6" s="2" t="inlineStr">
        <is>
          <t xml:space="preserve">Personal Training Manager
----------------------------------------
We are seeking an energetic and motivating Personal Training Manager to lead our fitness team and deliver exceptional training experiences that help clients achieve their health and wellness goals. This leadership role requires a certified fitness professional who can manage personal trainers, develop training programs, drive membership growth, and create a positive, results-oriented training culture. You will be responsible for overseeing all personal training operations, conducting client assessments, designing customized workout programs, and ensuring the highest standards of service delivery. The ideal candidate will have extensive fitness knowledge, strong leadership abilities, business acumen, and genuine passion for transforming lives through fitness and wellness.
----------------------------------------
* Bachelor's degree in Exercise Science, Kinesiology, Sports Medicine, or related field preferred
* Current nationally recognized personal training certification required (NASM, ACE, ACSM, NSCA, or equivalent)
* CPR/AED certification and First Aid training required
* Minimum 5-7 years of personal training experience with at least 2-3 years in leadership or management role
* Proven track record of achieving revenue targets, growing personal training departments, and managing successful fitness teams
* Deep knowledge of exercise physiology, biomechanics, program design, nutrition principles, and injury prevention strategies
* Strong sales and business development skills with ability to convert prospects, overcome objections, and build long-term client relationships
* Excellent communication and motivational skills with ability to inspire clients and team members to achieve their potential
* Experience with fitness assessment tools, body composition analysis equipment, and training software platforms
* Knowledge of special populations including seniors, youth athletes, pre/postnatal clients, and individuals with medical conditions or physical limitations
* Strong organizational and time management abilities with capacity to manage multiple priorities and responsibilities simultaneously
* Proficiency with fitness management software, scheduling systems, and point-of-sale platforms
* Leadership qualities including integrity, accountability, empathy, and ability to build cohesive, high-performing teams
* Additional certifications in specialized areas such as corrective exercise, sports performance, nutrition coaching, or group fitness instruction preferred
* Passion for health and wellness with commitment to serving as role model and maintaining personal fitness standards
* Flexibility to work early mornings, evenings, and weekends to accommodate client schedules and facility operational needs
----------------------------------------
* Lead, supervise, and develop team of personal trainers and fitness coaches, providing mentorship, performance feedback, and ongoing professional development
* Conduct comprehensive fitness assessments including body composition analysis, movement screening, cardiovascular testing, and goal-setting consultations with new clients
* Design personalized training programs tailored to individual client needs, fitness levels, goals, and medical considerations using evidence-based exercise science principles
* Deliver high-quality one-on-one and small group training sessions, demonstrating proper exercise techniques, providing motivation, and ensuring client safety
* Develop and implement sales strategies to grow personal training revenue, convert prospects to clients, and maximize trainer booking rates
* Create and manage personal training department budget, track revenue and expenses, analyze financial performance, and implement cost-effective operational improvements
* Establish and monitor key performance metrics including client retention rates, session completion, trainer utilization, and client satisfaction scores
* Build strong relationships with members and clients, addressing concerns promptly, resolving conflicts professionally, and ensuring exceptional service experiences
* Develop specialized training programs and services such as sports performance training, post-rehabilitation programs, nutrition coaching, and group fitness offerings
* Ensure compliance with safety protocols, equipment maintenance standards, industry regulations, and facility policies to maintain safe training environment
* Organize and conduct staff training sessions, workshops, and continuing education opportunities to enhance team knowledge and skills
* Market personal training services through promotional campaigns, social media content, facility tours, fitness challenges, and community events
* Maintain accurate records of client progress, training sessions, payments, and communications using fitness management software systems
* Stay current with fitness industry trends, emerging training methodologies, nutrition research, and competitive landscape to maintain competitive advantage
</t>
        </is>
      </c>
      <c r="G6" s="2" t="inlineStr">
        <is>
          <t>['personal training certification', 'fitness assessments', 'program design', 'exercise physiology', 'biomechanics', 'nutrition principles', 'injury prevention', 'sales strategies', 'business development', 'fitness management software', 'CPR/AED certification', 'first aid', 'budget management', 'client retention', 'body composition analysis', 'movement screening', 'cardiovascular testing', 'special populations knowledge', 'training software platforms', 'point-of-sale platforms', 'corrective exercise', 'sports performance training', 'nutrition coaching', 'group fitness instruction', 'marketing', 'leadership', 'communication', 'motivation', 'team management', 'organizational skills', 'time management', 'accountability', 'empathy', 'problem solving', 'client relationship building', 'conflict resolution', 'adaptability', 'passion for health and wellness']</t>
        </is>
      </c>
      <c r="H6" s="2" t="inlineStr">
        <is>
          <t>['group fitness instruction', 'coaching', 'human resource', 'teaching', 'spanish', 'time management', 'team building', 'team leadership', 'communication skills', 'planning', 'organizational skills']</t>
        </is>
      </c>
      <c r="I6" s="2" t="n">
        <v>11.77</v>
      </c>
      <c r="J6" s="2" t="n">
        <v>7.89</v>
      </c>
      <c r="K6" s="2" t="n">
        <v>84.41</v>
      </c>
    </row>
    <row r="7">
      <c r="A7" s="2" t="inlineStr">
        <is>
          <t>T06</t>
        </is>
      </c>
      <c r="B7" s="2" t="inlineStr">
        <is>
          <t>Low fuzzy matching</t>
        </is>
      </c>
      <c r="C7" s="2" t="inlineStr">
        <is>
          <t>19599699</t>
        </is>
      </c>
      <c r="D7" s="2" t="inlineStr">
        <is>
          <t>FITNESS</t>
        </is>
      </c>
      <c r="E7" s="2" t="inlineStr">
        <is>
          <t xml:space="preserve">         INTERN         Highlights        Microsoft Word, PowerPoint, and Excel. Social Media: Twitter, Facebook, and Instagram              Experience     January 2016   to   May 2016     Intern        Create and implement strength and conditioning workouts for spring season.  Monitor weight lifting form and technique.  Provide feedback and apply knowledge to strength training and conditioning programs.  Organize and prepare equipment daily for strength and conditioning programs.         August 2015   to   December 2015     Company Name   City  ,   State     Fitness Intern        Exposed to daily routine of fitness specialist and client interaction Conducted one-on-one orientation for new members and instructed in the proper use of equipment Assisted with revising programs offered to incorporate updated topics Created bulletin boards for Member-of-the-Month Provided complimentary body measurements Maintained facility and equipment according to health and safety standards.         August 2013   to   May 2016     Company Name   City  ,   State     Student Assistant        Utilize Front Rush website to enter football and lacrosse recruit and roster information.  Organize and coordinate football recruiting events during the fall, including giving tours.  Provide office support for football and lacrosse coaches.  Restock office and break room supplies.         May 2013   to   December 2015     Company Name   City  ,   State       Individually standardized jelly and ice cream topping batches (checked pH, temperature, and consistency).  Trained in operation and safety of a stand up and sit down forklift.  Consistently met quotas when packed jelly, syrup, ice cream toppings and plate scapers into boxes.  Operated label machine allowing for continual operation and upkeep.          Education     May 2016     BALDWIN WALLACE UNIVERSITY   City  ,   State       Bachelor of Arts  :   Exercise Science Orthopedic Assessment and Treatment Health Promotion and          Education    Exercise Science Orthopedic Assessment and Treatment Health Promotion and          Education BW Deans Award, Spring 2014 and 2015            RELATED        BALDWIN WALLACE UNIVERSITY   City  ,   State               Professional Affiliations    Pre- Physical Therapy and Exercise Science Club
 ACTIVITIES         Executive Member: CRU - Christian Organization Member: Phi Mu, Delta Iota Fraternity      Skills    client interaction, forklift, health and safety standards, Excel, office, PowerPoint, Microsoft Word, recruiting, safety, website   </t>
        </is>
      </c>
      <c r="F7" s="2" t="inlineStr">
        <is>
          <t xml:space="preserve">Personal Training Manager
----------------------------------------
We are seeking an energetic and motivating Personal Training Manager to lead our fitness team and deliver exceptional training experiences that help clients achieve their health and wellness goals. This leadership role requires a certified fitness professional who can manage personal trainers, develop training programs, drive membership growth, and create a positive, results-oriented training culture. You will be responsible for overseeing all personal training operations, conducting client assessments, designing customized workout programs, and ensuring the highest standards of service delivery. The ideal candidate will have extensive fitness knowledge, strong leadership abilities, business acumen, and genuine passion for transforming lives through fitness and wellness.
----------------------------------------
* Bachelor's degree in Exercise Science, Kinesiology, Sports Medicine, or related field preferred
* Current nationally recognized personal training certification required (NASM, ACE, ACSM, NSCA, or equivalent)
* CPR/AED certification and First Aid training required
* Minimum 5-7 years of personal training experience with at least 2-3 years in leadership or management role
* Proven track record of achieving revenue targets, growing personal training departments, and managing successful fitness teams
* Deep knowledge of exercise physiology, biomechanics, program design, nutrition principles, and injury prevention strategies
* Strong sales and business development skills with ability to convert prospects, overcome objections, and build long-term client relationships
* Excellent communication and motivational skills with ability to inspire clients and team members to achieve their potential
* Experience with fitness assessment tools, body composition analysis equipment, and training software platforms
* Knowledge of special populations including seniors, youth athletes, pre/postnatal clients, and individuals with medical conditions or physical limitations
* Strong organizational and time management abilities with capacity to manage multiple priorities and responsibilities simultaneously
* Proficiency with fitness management software, scheduling systems, and point-of-sale platforms
* Leadership qualities including integrity, accountability, empathy, and ability to build cohesive, high-performing teams
* Additional certifications in specialized areas such as corrective exercise, sports performance, nutrition coaching, or group fitness instruction preferred
* Passion for health and wellness with commitment to serving as role model and maintaining personal fitness standards
* Flexibility to work early mornings, evenings, and weekends to accommodate client schedules and facility operational needs
----------------------------------------
* Lead, supervise, and develop team of personal trainers and fitness coaches, providing mentorship, performance feedback, and ongoing professional development
* Conduct comprehensive fitness assessments including body composition analysis, movement screening, cardiovascular testing, and goal-setting consultations with new clients
* Design personalized training programs tailored to individual client needs, fitness levels, goals, and medical considerations using evidence-based exercise science principles
* Deliver high-quality one-on-one and small group training sessions, demonstrating proper exercise techniques, providing motivation, and ensuring client safety
* Develop and implement sales strategies to grow personal training revenue, convert prospects to clients, and maximize trainer booking rates
* Create and manage personal training department budget, track revenue and expenses, analyze financial performance, and implement cost-effective operational improvements
* Establish and monitor key performance metrics including client retention rates, session completion, trainer utilization, and client satisfaction scores
* Build strong relationships with members and clients, addressing concerns promptly, resolving conflicts professionally, and ensuring exceptional service experiences
* Develop specialized training programs and services such as sports performance training, post-rehabilitation programs, nutrition coaching, and group fitness offerings
* Ensure compliance with safety protocols, equipment maintenance standards, industry regulations, and facility policies to maintain safe training environment
* Organize and conduct staff training sessions, workshops, and continuing education opportunities to enhance team knowledge and skills
* Market personal training services through promotional campaigns, social media content, facility tours, fitness challenges, and community events
* Maintain accurate records of client progress, training sessions, payments, and communications using fitness management software systems
* Stay current with fitness industry trends, emerging training methodologies, nutrition research, and competitive landscape to maintain competitive advantage
</t>
        </is>
      </c>
      <c r="G7" s="2" t="inlineStr">
        <is>
          <t>['personal training certification', 'fitness assessments', 'program design', 'exercise physiology', 'biomechanics', 'nutrition principles', 'injury prevention', 'sales strategies', 'business development', 'fitness management software', 'CPR/AED certification', 'first aid', 'budget management', 'client retention', 'body composition analysis', 'movement screening', 'cardiovascular testing', 'special populations knowledge', 'training software platforms', 'point-of-sale platforms', 'corrective exercise', 'sports performance training', 'nutrition coaching', 'group fitness instruction', 'marketing', 'leadership', 'communication', 'motivation', 'team management', 'organizational skills', 'time management', 'accountability', 'empathy', 'problem solving', 'client relationship building', 'conflict resolution', 'adaptability', 'passion for health and wellness']</t>
        </is>
      </c>
      <c r="H7" s="2" t="inlineStr">
        <is>
          <t>['microsoft word', 'powerpoint', 'excel', 'forklift', 'health and safety standards', 'recruiting', 'website', 'client interaction', 'office', 'safety']</t>
        </is>
      </c>
      <c r="I7" s="2" t="n">
        <v>20.27</v>
      </c>
      <c r="J7" s="2" t="n">
        <v>0</v>
      </c>
      <c r="K7" s="2" t="n">
        <v>26.15</v>
      </c>
    </row>
    <row r="8">
      <c r="A8" s="2" t="inlineStr">
        <is>
          <t>T07</t>
        </is>
      </c>
      <c r="B8" s="2" t="inlineStr">
        <is>
          <t>HR category test</t>
        </is>
      </c>
      <c r="C8" s="2" t="inlineStr">
        <is>
          <t>16852973</t>
        </is>
      </c>
      <c r="D8" s="2" t="inlineStr">
        <is>
          <t>HR</t>
        </is>
      </c>
      <c r="E8" s="2" t="inlineStr">
        <is>
          <t xml:space="preserve">         HR ADMINISTRATOR/MARKETING ASSOCIATE
HR ADMINISTRATOR       Summary     Dedicated Customer Service Manager with 15+ years of experience in Hospitality and Customer Service Management.   Respected builder and leader of customer-focused teams; strives to instill a shared, enthusiastic commitment to customer service.         Highlights         Focused on customer satisfaction  Team management  Marketing savvy  Conflict resolution techniques     Training and development  Skilled multi-tasker  Client relations specialist           Accomplishments      Missouri DOT Supervisor Training Certification  Certified by IHG in Customer Loyalty and Marketing by Segment   Hilton Worldwide General Manager Training Certification  Accomplished Trainer for cross server hospitality systems such as    Hilton OnQ  ,   Micros    Opera PMS   , Fidelio    OPERA    Reservation System (ORS) ,   Holidex    Completed courses and seminars in customer service, sales strategies, inventory control, loss prevention, safety, time management, leadership and performance assessment.        Experience      HR Administrator/Marketing Associate
HR Administrator     Dec 2013   to   Current      Company Name   －   City  ,   State     Helps to develop policies, directs and coordinates activities such as employment, compensation, labor relations, benefits, training, and employee services.  Prepares employee separation notices and related documentation  Keeps records of benefits plans participation such as insurance and pension plan, personnel transactions such as hires, promotions, transfers, performance reviews, and terminations, and employee statistics for government reporting.  Advises management in appropriate resolution of employee relations issues.  Administers benefits programs such as life, health, dental, insurance, pension plans, vacation, sick leave, leave of absence, and employee assistance.     Marketing Associate     Designed and created marketing collateral for sales meetings, trade shows and company executives.  Managed the in-house advertising program consisting of print and media collateral pieces.  Assisted in the complete design and launch of the company's website in 2 months.  Created an official company page on Facebook to facilitate interaction with customers.  Analyzed ratings and programming features of competitors to evaluate the effectiveness of marketing strategies.         Advanced Medical Claims Analyst     Mar 2012   to   Dec 2013      Company Name   －   City  ,   State     Reviewed medical bills for the accuracy of the treatments, tests, and hospital stays prior to sanctioning the claims.  Trained to interpret the codes (ICD-9, CPT) and terminology commonly used in medical billing to fully understand the paperwork that is submitted by healthcare providers.  Required to have organizational and analytical skills as well as computer skills, knowledge of medical terminology and procedures, statistics, billing standards, data analysis and laws regarding medical billing.         Assistant General Manager     Jun 2010   to   Dec 2010      Company Name   －   City  ,   State     Performed duties including but not limited to, budgeting and financial management, accounting, human resources, payroll and purchasing.  Established and maintained close working relationships with all departments of the hotel to ensure maximum operation, productivity, morale and guest service.  Handled daily operations and reported directly to the corporate office.  Hired and trained staff on overall objectives and goals with an emphasis on high customer service.  Marketing and Advertising, working on public relations with the media, government and local businesses and Chamber of Commerce.         Executive Support / Marketing Assistant     Jul 2007   to   Jun 2010      Company Name   －   City  ,   State     Provided assistance to various department heads - Executive, Marketing, Customer Service, Human Resources.  Managed front-end operations to ensure friendly and efficient transactions.  Ensured the swift resolution of customer issues to preserve customer loyalty while complying with company policies.  Exemplified the second-to-none customer service delivery in all interactions with customers and potential clients.         Reservation &amp; Front Office Manager     Jun 2004   to   Jul 2007      Company Name   －   City  ,   State          Owner/ Partner     Dec 2001   to   May 2004      Company Name   －   City  ,   State          Price Integrity Coordinator     Aug 1999   to   Dec 2001      Company Name   －   City  ,   State          Education      N/A  ,   Business Administration   1999     Jefferson College   －   City  ,   State       Business Administration  Marketing / Advertising         High School Diploma  ,   College Prep. studies   1998     Sainte Genevieve Senior High   －   City  ,   State       Awarded American Shrubel Leadership Scholarship to Jefferson College         Skills     Accounting, ads, advertising, analytical skills, benefits, billing, budgeting, clients, Customer Service, data analysis, delivery, documentation, employee relations, financial management, government relations, Human Resources, insurance, labor relations, layout, Marketing, marketing collateral, medical billing, medical terminology, office, organizational, payroll, performance reviews, personnel, policies, posters, presentations, public relations, purchasing, reporting, statistics, website.    </t>
        </is>
      </c>
      <c r="F8" s="2" t="inlineStr">
        <is>
          <t xml:space="preserve">Human Resources Business Partner
----------------------------------------
We are seeking an experienced Human Resources Business Partner to serve as a strategic advisor to leadership teams while managing the full employee lifecycle. This role requires a dynamic professional who can balance strategic HR initiatives with hands-on operational support, fostering a positive workplace culture and driving organizational effectiveness. You will work closely with department heads to align HR strategies with business objectives, manage talent acquisition and retention programs, and ensure compliance with employment laws and regulations. The ideal candidate will have exceptional interpersonal skills, strong business acumen, and the ability to influence at all levels of the organization.
----------------------------------------
* Bachelor's degree in Human Resources, Business Administration, Psychology, or related field; Master's degree or MBA preferred
* Minimum 5-7 years of progressive HR experience with at least 3 years in a business partner or strategic HR role
* Professional HR certification such as SHRM-CP, SHRM-SCP, PHR, or SPHR strongly preferred
* Deep knowledge of employment law, HR best practices, and current trends in talent management and organizational development
* Proven experience managing full-cycle recruitment processes and building effective talent acquisition strategies
* Strong business acumen with ability to understand financial statements, business models, and organizational dynamics
* Exceptional interpersonal and communication skills with ability to build trust and influence stakeholders at all organizational levels
* Demonstrated experience with HRIS systems and HR analytics tools; proficiency in Microsoft Office Suite required
* Strong problem-solving and critical thinking abilities with a solutions-oriented mindset
* Ability to handle sensitive and confidential information with discretion and maintain high ethical standards
* Experience leading change management initiatives and supporting organizations through periods of transformation
* Project management skills with ability to manage multiple priorities and deadlines simultaneously
----------------------------------------
* Partner with business leaders to understand organizational goals and develop HR strategies that support achievement of business objectives
* Lead talent acquisition efforts including workforce planning, recruitment strategy development, candidate screening, interviewing, and onboarding processes
* Design and implement comprehensive employee development programs including training initiatives, succession planning, and career progression frameworks
* Manage employee relations issues by conducting thorough investigations, providing coaching to managers, mediating conflicts, and recommending appropriate solutions
* Develop and maintain compensation and benefits programs that are competitive, equitable, and aligned with organizational budget and market standards
* Drive performance management processes including goal setting, mid-year reviews, annual evaluations, and performance improvement plans
* Ensure compliance with federal, state, and local employment laws and regulations including FMLA, ADA, FLSA, and EEO requirements
* Analyze HR metrics and workforce data to identify trends, develop insights, and make data-driven recommendations to leadership
* Lead organizational change management initiatives including restructuring, mergers, acquisitions, and cultural transformation projects
* Develop and implement employee engagement strategies including surveys, feedback mechanisms, recognition programs, and retention initiatives
</t>
        </is>
      </c>
      <c r="G8" s="2" t="inlineStr">
        <is>
          <t>['human resources management', 'talent acquisition', 'employment law compliance', 'employee relations', 'performance management', 'compensation and benefits', 'HRIS systems', 'HR analytics', 'organizational development', 'change management', 'project management', 'training and development', 'succession planning', 'business acumen', 'data analysis', 'Microsoft Office Suite', 'interpersonal skills', 'communication', 'influencing', 'problem solving', 'critical thinking', 'ethical judgment', 'confidentiality', 'teamwork']</t>
        </is>
      </c>
      <c r="H8" s="2" t="inlineStr">
        <is>
          <t>['customer service', 'team management', 'marketing', 'conflict resolution', 'training', 'multi-tasking', 'client relations', 'medical billing', 'data analysis', 'icd-9', 'cpt', 'financial management', 'budgeting', 'advertising', 'human resources', 'insurance', 'labor relations', 'performance reviews', 'personnel management', 'public relations', 'website design', 'dedication', 'leadership', 'communication', 'problem solving', 'organizational skills', 'analytical skills', 'creativity', 'customer focus', 'collaboration', 'time management']</t>
        </is>
      </c>
      <c r="I8" s="2" t="n">
        <v>49.4</v>
      </c>
      <c r="J8" s="2" t="n">
        <v>12.5</v>
      </c>
      <c r="K8" s="2" t="n">
        <v>63.24</v>
      </c>
    </row>
    <row r="9">
      <c r="A9" s="2" t="inlineStr">
        <is>
          <t>T08</t>
        </is>
      </c>
      <c r="B9" s="2" t="inlineStr">
        <is>
          <t>INFORMATION-TECHNOLOGY category test</t>
        </is>
      </c>
      <c r="C9" s="2" t="inlineStr">
        <is>
          <t>36856210</t>
        </is>
      </c>
      <c r="D9" s="2" t="inlineStr">
        <is>
          <t>INFORMATION-TECHNOLOGY</t>
        </is>
      </c>
      <c r="E9" s="2" t="inlineStr">
        <is>
          <t xml:space="preserve">         INFORMATION TECHNOLOGY         Summary     Dedicated  Information Assurance Professional  well-versed in analyzing and mitigating risk and finding cost-effective solutions. Excels at boosting performance and productivity by establishing realistic goals and enforcing deadlines.  Versatile IT professional with 37 years of Enterprise design and engineering methodology.       Skills          Enterprise platforms  Knowledge of Product Lifecycle Management (PLM)  Project tracking  Hardware and software upgrade planning  Product requirements documentation  Self-directed  MS Visio  Decisive  Collaborative  Domain Active Directory Layout  Data storage engineering      Information Assurance  Risk Management Framework (RMF)  Active Directory design and deployment  Workstation build and deployment  Systems Accreditation Packages  Red Hat Enterprise Linux installation and hardening  Network Design &amp; Troubleshooting   High Performance Computing            Experience      Company Name    City  ,   State    Information Technology   02/2011   to   Current        I was hired to manage accreditation
efforts for a major department modernization project involving 3
accreditation packages each leading to successful Authorization To
Operate decisions.  Responsibilities then increased to include all
departmental accreditation efforts leading to another 3 successful
ATOs.  Now, working on 4 new accreditation including
re-authorization for an existing project.  Succeeded in writing and
implementing vulnerability management for existing accredited
systems.
Success
of the accreditation hinged on coordination with ONI Enterprise in
critical design decisions and to help the program integrate smoothly
into the Enterprise thru many meetings, analyzing the Enterprise
business model to understand the best fit for the program.
The
different projects required careful management of specific STIG
compliance and hardening for the different configurations and
services required for the specific domain to be integrated.   Analyzed complex computer systems to assess vulnerability and risk.    Supervised  5  external computer consultants and vendors.    Managed application patches, data backup, security changes and network configuration.           Company Name    City  ,   State    Systems Engineer   02/2006   to   02/2011        I was Hired
to initiate processing strategies in fulfilling department analyst requirements.  Requirements were fulfilled thru i dentifying product problems and strengths and collected data on customer experience  and review of Enterprise compliance to transition to new
technology for supporting new processing needs thru proper processing
power.  The next challenge  came as storage requirements for better performance and more
controlled uses.  After careful study of local infrastructure design, a local storage with off the shelf solutions was
adopted to grow local storage to over 200TB.  In using this solution,
the department saved just over a million dollars in purchasing and
maintenance costs compared to the alternative. Next came requirements to improve processing of future big data formats fulfilled in a Red Hat Linux high compute cluster I designed, purchased and
accredited for operation in the Enterprise.  Improvement on big data analytical processing reduced time from
30 hours to 30 minutes as well as allow for more robust data thru
higher selections of sensors, frequencies and range than allowed thru
the traditional process.         Company Name    City  ,   State    Senior Systems Analyst   02/1999   to   02/2006        I was hired to improve corporate and
client communications and processing requirements which resulted in
the design, build and deployment of 3 Enterprise network solutions.  One
solution resulted in expanding capabilities to supporting Washington
Navy Yard, Norfolk Virginia and Hawaii support facilities. 
Fulfilled
requirements for detecting crucial network software/hardware
weaknesses and developing preventive strategies and solutions for
avoiding interruptions and increasing system security thru
documenting system layouts, wiring diagrams and addressing schema to
understand layouts and make informed solutions to upper management.
          Education and Training      Associate of Science  :  Electronic Engineering   1980     Florence Darlington Technical School  ,   City  ,   State       Electronic Engineering.     Dean's list for high GPA.      Class President for second year          Skills        Active Directory  Hardware Engineering  Information Technology  Red Hat Enterprise Linux Servers  MS Windows Servers  MS Windows Desktop  Network Design &amp; Troubleshooting  Architectural Diagrams  Accreditation Boundarys  Risk Management  Enterprise Strategies  Vendor Relations   Desktop Publishing Software: Photoshop, Illustrator, HTML  Team Work  Collaboration     </t>
        </is>
      </c>
      <c r="F9" s="2" t="inlineStr">
        <is>
          <t xml:space="preserve">IT Infrastructure Manager
----------------------------------------
We are seeking an experienced IT Infrastructure Manager to oversee and optimize our organization's technology infrastructure, ensuring reliability, security, and scalability. This leadership role requires a strategic thinker who can manage complex IT systems, lead technical teams, and align infrastructure initiatives with business objectives. You will be responsible for managing servers, networks, cloud services, security systems, and disaster recovery plans while ensuring maximum uptime and performance. The ideal candidate will have deep technical expertise, strong leadership abilities, and a proven track record of successfully managing enterprise-level IT infrastructure in dynamic business environments.
----------------------------------------
* Bachelor's degree in Computer Science, Information Technology, or related technical field; Master's degree preferred
* Minimum 8-10 years of IT experience with at least 5 years in infrastructure management and 3 years in leadership roles
* Professional certifications such as CISSP, CCNP, AWS Certified Solutions Architect, Microsoft Certified: Azure Administrator, or ITIL preferred
* Extensive experience with enterprise server environments including Windows Server, Linux, VMware, Hyper-V, and containerization technologies
* Deep knowledge of network architecture, protocols, and technologies including routing, switching, VPNs, load balancers, and firewalls
* Strong experience with cloud platforms (AWS, Azure, GCP) including migration strategies, hybrid cloud architectures, and cloud-native services
* Proven expertise in cybersecurity principles, security frameworks (NIST, ISO 27001), and implementing comprehensive security controls
* Experience with infrastructure automation tools such as Ansible, Terraform, PowerShell, or similar configuration management solutions
* Strong understanding of database systems, backup and recovery solutions, and disaster recovery planning and execution
* Excellent leadership and team management skills with ability to motivate, develop, and retain technical talent
* Strong project management abilities with experience leading complex technical projects from planning through implementation
* Exceptional problem-solving and analytical skills with ability to troubleshoot complex technical issues under pressure
* Excellent communication skills with ability to translate technical concepts for non-technical stakeholders and present to executive leadership
* Experience managing IT budgets, vendor relationships, and procurement processes in enterprise environments
----------------------------------------
* Develop and implement comprehensive IT infrastructure strategy aligned with organizational goals, technology roadmap, and budget constraints
* Manage and maintain all aspects of IT infrastructure including servers, storage systems, networks, virtualization platforms, and cloud services
* Lead, mentor, and develop a team of IT professionals including systems administrators, network engineers, and support specialists
* Design and implement robust security measures including firewalls, intrusion detection systems, endpoint protection, and security policies to protect against cyber threats
* Oversee cloud infrastructure and migration initiatives, optimizing use of AWS, Azure, or Google Cloud Platform for cost-efficiency and performance
* Develop and maintain comprehensive disaster recovery and business continuity plans, conducting regular testing and updates to ensure organizational resilience
* Monitor system performance, capacity, and availability using advanced monitoring tools, proactively identifying and resolving issues before they impact users
* Manage vendor relationships, negotiate contracts, evaluate technology solutions, and oversee procurement processes for infrastructure hardware and software
* Establish and enforce IT policies, procedures, and standards to ensure compliance with industry regulations, security frameworks, and best practices
* Plan and execute infrastructure projects including data center migrations, network upgrades, system implementations, and technology refreshes
* Manage IT infrastructure budget, tracking expenses, optimizing costs, and providing regular financial reporting to senior management
* Collaborate with application development teams, business units, and external partners to ensure infrastructure supports business applications and services effectively
* Stay current with emerging technologies, industry trends, and best practices, evaluating and recommending new solutions to improve infrastructure capabilities
</t>
        </is>
      </c>
      <c r="G9" s="2" t="inlineStr">
        <is>
          <t>['IT infrastructure management', 'server management', 'network architecture', 'cloud platforms', 'cybersecurity', 'disaster recovery planning', 'virtualization technologies', 'infrastructure automation', 'database systems', 'project management', 'vendor management', 'budget management', 'IT policies and compliance', 'monitoring tools', 'technical certifications', 'leadership', 'strategic thinking', 'team management', 'communication', 'problem solving', 'analytical skills', 'mentoring', 'collaboration']</t>
        </is>
      </c>
      <c r="H9" s="2" t="inlineStr">
        <is>
          <t>['enterprise platforms', 'product lifecycle management (plm)', 'project tracking', 'hardware and software upgrade planning', 'product requirements documentation', 'ms visio', 'active directory', 'data storage engineering', 'information assurance', 'risk management framework (rmf)', 'active directory design and deployment', 'workstation build and deployment', 'systems accreditation packages', 'red hat enterprise linux installation and hardening', 'network design', 'troubleshooting', 'high performance computing', 'application patches', 'data backup', 'security changes', 'network configuration', 'storage solutions', 'big data processing', 'architectural diagrams', 'accreditation boundaries', 'vendor relations', 'desktop publishing software', 'photoshop', 'illustrator', 'html', 'self-directed', 'decisive', 'collaborative', 'team work', 'communication', 'problem solving']</t>
        </is>
      </c>
      <c r="I9" s="2" t="n">
        <v>62.82</v>
      </c>
      <c r="J9" s="2" t="n">
        <v>8.699999999999999</v>
      </c>
      <c r="K9" s="2" t="n">
        <v>53.24</v>
      </c>
    </row>
    <row r="10">
      <c r="A10" s="2" t="inlineStr">
        <is>
          <t>T09</t>
        </is>
      </c>
      <c r="B10" s="2" t="inlineStr">
        <is>
          <t>FINANCE category test</t>
        </is>
      </c>
      <c r="C10" s="2" t="inlineStr">
        <is>
          <t>11877150</t>
        </is>
      </c>
      <c r="D10" s="2" t="inlineStr">
        <is>
          <t>FINANCE</t>
        </is>
      </c>
      <c r="E10" s="2" t="inlineStr">
        <is>
          <t xml:space="preserve">         FINANCE           Professional Summary    A versatile, highly motivated, adaptable, and responsible accounting graduate. Possessing highly analytical skill and ability to manage and complete projects to the highest standards. Now wish to transition solid background in accounting and finance towards business and property consultancy, which is a challenging position that will enable me to capitalise my own knowledge and work experience.      Skills          Superior time management  Customer relations  Self-motivated professional  Excellent communication skills  Strong interpersonal skills      Multilingual in  English and Indonesian Languange   Proficient in  Ms. Office    
Critical thinking    Attention to detail    Creative thinker    Excellent managerial techniques
              Work History      Finance  ,   07/2013   to   Current     Company Name   –   City  ,   State      Proposed and achieved cost savings by reducing expenses on the company.  Forecasted operating costs for scheduled projects by strategizing with other departments.  Analyzed budgets, financial reports and projections for accurate reporting of financial standing.  Worked with management at the project level to ensure expense plans are achieved.  Worked with managers to develop annual expense plan goals.  Collected and reported monthly expense variances and explanations.  Performed periodic budgeting/modeling to project monthly cash requirements.  Calculated commissions for sales stores.  Responsible for petty cash and bank transactions.         Junior Auditor  ,   02/2012   to   06/2012     Company Name   –   City  ,   State      Analyzed and reviewed cost reports and communicated final results to clients.  Reported internal control issues to management and supplied comprehensive recommendations to mitigate the associated risks.  Gathered data for internal audits through interviews, financial research and downloads.  Articulated audit findings, risks and detailed recommendations to upper management.  Met with clients to identify and assess business controls, risks, process gaps and work flow inefficiencies.         Education      S.E  :   Accounting  ,   2013     Kwik Kian Gie School of Business   -   City  ,   State           High School Diploma  :     2008     Don Bosco 2 Senior High School   -   City  ,   State           Certifications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Skills    c, English, Finance, Access, Excel, Word, Promotion, Sales      Additional Information      Jenis Kelamin / Gender 	:	Perempuan Tanggal dan Tempat Kelahiran/ Date and place of Birth	:   	Jakarta, 24 Desember 1989 Status Marital / Marital Status	:	Belum Menikah Warga Negara / Nationality	:	WNI Agama / Religion	:	Katolik Tinggi dan Berat Badan/  	:	161cm/56kg Height and Weight Hobi/Hobby 	: 	Boxing, Yoga, Jogging, Travelling Preferensi Pekerjaan / Job Preference Bidang Pekerjaan yang diminati	:       -Akuntansi/Finance/Auditor/Marketing Career Interest	        -Available position Riwayat Pendidikan dan Pelatihan /Educational and Professional Qualification Jenjang Pendidikan      </t>
        </is>
      </c>
      <c r="F10" s="2" t="inlineStr">
        <is>
          <t xml:space="preserve">Financial Controller
----------------------------------------
We are seeking an experienced Financial Controller to oversee all accounting operations, financial reporting, and internal controls while providing strategic financial leadership to the organization. This senior role requires a detail-oriented financial professional who can manage accounting teams, ensure accurate financial statements, implement robust controls, and provide insightful analysis to support business decisions. You will be responsible for month-end close processes, budgeting and forecasting, audit coordination, compliance management, and continuous improvement of financial systems and processes. The ideal candidate will have strong technical accounting knowledge, proven leadership abilities, exceptional analytical skills, and strategic mindset to partner effectively with executive leadership.
----------------------------------------
* Bachelor's degree in Accounting, Finance, or related field required; MBA or Master's in Accounting preferred
* CPA certification required; CMA or other relevant professional certifications beneficial
* Minimum 8-10 years of progressive accounting experience with at least 4-5 years in controller or senior accounting management role
* Deep knowledge of GAAP, financial reporting standards, and regulatory compliance requirements
* Proven experience managing complete accounting cycle, preparing financial statements, and coordinating external audits
* Strong understanding of internal controls, SOX compliance, and risk management practices
* Expert proficiency with accounting systems (NetSuite, SAP, Oracle, or similar ERP platforms) and advanced Excel skills
* Excellent analytical and problem-solving abilities with talent for translating complex financial data into clear insights
* Strong leadership and team management skills with ability to build, develop, and retain high-performing accounting teams
* Experience with budgeting, forecasting, financial planning, and variance analysis processes
* Knowledge of tax accounting, transfer pricing, and multi-entity/multi-jurisdictional accounting preferred
* Exceptional attention to detail with commitment to accuracy and quality in all financial reporting and analysis
* Strong business acumen with ability to partner effectively with operations and provide strategic financial guidance
* Excellent communication and presentation skills for reporting to executives, board members, and external stakeholders
* Experience with IPO preparation, SEC reporting, or public company accounting beneficial for growth-stage companies
* Ability to thrive in dynamic, fast-paced environments and manage multiple priorities with tight deadlines
----------------------------------------
* Oversee all accounting operations including accounts payable, accounts receivable, general ledger, payroll, fixed assets, and cash management
* Manage month-end and year-end close processes, ensuring timely and accurate completion of financial statements in accordance with GAAP
* Prepare consolidated financial statements, management reports, variance analyses, and executive dashboards for senior leadership and board of directors
* Lead annual budgeting and quarterly forecasting processes, working with department heads to develop realistic plans aligned with strategic objectives
* Develop and maintain robust internal control framework to safeguard company assets, ensure accuracy of financial records, and prevent fraud
* Coordinate external audit activities, preparing audit schedules, responding to auditor requests, and ensuring smooth audit process and clean opinions
* Ensure compliance with all regulatory requirements, tax filings, statutory reporting, and financial covenants for debt agreements
* Implement and optimize financial systems, accounting software, and reporting tools to improve efficiency, accuracy, and analytical capabilities
* Manage and develop accounting team including accountants, financial analysts, and accounts payable/receivable staff, providing mentorship and professional development
* Analyze financial performance, identify trends and variances, and provide actionable insights and recommendations to improve profitability and efficiency
* Develop and monitor key performance indicators and financial metrics to track business performance against goals and industry benchmarks
* Oversee cash flow management, working capital optimization, and liquidity planning to ensure adequate funding for operational needs
* Support strategic initiatives including financial modeling for investments, acquisitions, new ventures, and major capital expenditures
* Establish and document accounting policies, procedures, and controls to ensure consistent application of accounting principles
</t>
        </is>
      </c>
      <c r="G10" s="2" t="inlineStr">
        <is>
          <t>['financial reporting', 'accounting operations', 'GAAP', 'internal controls', 'audit coordination', 'budgeting', 'forecasting', 'compliance management', 'financial analysis', 'ERP systems', 'Excel', 'CPA certification', 'tax accounting', 'transfer pricing', 'multi-entity accounting', 'SOX compliance', 'risk management', 'financial modeling', 'cash flow management', 'financial statements preparation', 'statutory reporting', 'IPO preparation', 'SEC reporting', 'leadership', 'team management', 'strategic mindset', 'analytical skills', 'attention to detail', 'business acumen', 'communication', 'problem solving', 'mentorship', 'presentation skills', 'ability to work under pressure']</t>
        </is>
      </c>
      <c r="H10" s="2" t="inlineStr">
        <is>
          <t>['accounting', 'finance', 'budgeting', 'financial analysis', 'cost savings', 'financial reporting', 'project management', 'excel', 'ms. office', 'access', 'sales', 'promotion', 'auditing', 'time management', 'customer relations', 'self-motivated', 'communication', 'interpersonal skills', 'multilingual', 'critical thinking', 'attention to detail', 'creative thinking', 'managerial techniques']</t>
        </is>
      </c>
      <c r="I10" s="2" t="n">
        <v>49.76</v>
      </c>
      <c r="J10" s="2" t="n">
        <v>17.65</v>
      </c>
      <c r="K10" s="2" t="n">
        <v>60.6</v>
      </c>
    </row>
    <row r="11">
      <c r="A11" s="2" t="inlineStr">
        <is>
          <t>T10</t>
        </is>
      </c>
      <c r="B11" s="2" t="inlineStr">
        <is>
          <t>ENGINEERING category test</t>
        </is>
      </c>
      <c r="C11" s="2" t="inlineStr">
        <is>
          <t>14206561</t>
        </is>
      </c>
      <c r="D11" s="2" t="inlineStr">
        <is>
          <t>ENGINEERING</t>
        </is>
      </c>
      <c r="E11" s="2" t="inlineStr">
        <is>
          <t xml:space="preserve">         ENGINEERING TECHNICIAN           Highlights        PC Operating Systems, Microsoft Office, Outlook, Internet              Experience      Company Name    City  ,   State    Engineering Technician   01/2014   to   Current       Analyze documentation to ensure production accuracy.  Use MS Excel and PowerPoint to create presentations and spreadsheets.  Engage engineering to resolve production issues.  Create and maintain production training certifications.  Generate training matrix to determine and eliminate training gaps.  Conduct weekly safety audits to reduce accidents and ensure safe workplace.  Use Oracle to track material transactions, verify vendor and material information, and print transfer orders.  Point of contact for Vendor, OSSR, PM, Buyer, Planner and Manager for many part issues.  Initiate stock purge of suspected discrepant material and coordinate the inspection and disposition of the material.  Manage weekly MRB meetings and provide weekly DMR disposition metrics.  Work with suppliers to resolve issues with parts found on the manufacturing floor.  Effectively manage all DMR/RTS material initiated by test, remotes and build activities.  Support the "TXZ cover recycle" effort through SR initiation and material preparation for shipment to Japan.          Company Name    City  ,   State    Consultant   12/2012         Analyzed and determined factors affecting networking needs including hardware and attenuation/interference.  Set up dual network infrastructure utilizing both wired and wireless routers.  Austin Free-Net									Dec 2012.  Assist in the design of deployment server for the distribution of updates to various computer labs.          Company Name    City  ,   State    Engineering Technician   01/2011   to   12/2013       Maintain documentation and records.  Analyze documentation to ensure production accuracy.  Managed incoming product and shipping process.  Assist Manufacturing Engineering team on new product production and quality procedures.  Review production orders and provide updates to ensure production accuracy.          Company Name    City  ,   State    Manufacturing Lead   07/2004   to   12/2010       Analyzed production orders and schedules to ascertain types, quantities and specifications.  Planned production operations, establishing priorities and sequences.  Utilized Microsoft Office to document and update status reports.  Analyzed production reports and resolved operational and manufacturing problems to ensure scheduling needs.  Provided training, supervision and logistics coordination.  Maintain training certification and documentation.  Aligned internal resources to achieve on-time and budget performance objectives.  Analyzed reports and consulted with quality, management, and engineering personnel to solve problems.  Interface with customer to monitor project progress and cost.  Assisted in administration of software database.  Installation of network systems.  Assisted in implementing production software in a high volume manufacturing environment.  Coordinate product transition and support team.          Education        Business Administration   2019     University of Phoenix	Texas          Business Administration        Professional Affiliations    Information Systems Security Association (ISSA)      Skills    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   </t>
        </is>
      </c>
      <c r="F11" s="2" t="inlineStr">
        <is>
          <t xml:space="preserve">Structural Engineering Project Manager
----------------------------------------
We are seeking an experienced Structural Engineering Project Manager to lead complex structural design projects for commercial, residential, and infrastructure developments. This senior role requires a licensed professional engineer who can manage multidisciplinary teams, coordinate with architects and contractors, ensure code compliance, and deliver innovative structural solutions on time and within budget. You will be responsible for overseeing project design from concept through construction administration, managing client relationships, mentoring engineers, and ensuring technical excellence across all deliverables. The ideal candidate will have deep structural engineering expertise, strong project management abilities, excellent client communication skills, and proven track record successfully delivering large-scale structural projects.
----------------------------------------
* Bachelor's degree in Civil or Structural Engineering required; Master's degree in Structural Engineering preferred
* Professional Engineer (PE) license required; Structural Engineer (SE) license highly preferred
* Minimum 8-12 years of progressive structural engineering experience with at least 4 years managing projects and teams
* Comprehensive knowledge of structural analysis, design principles, and engineering theory for various structural systems and materials
* Expert proficiency with structural engineering software including ETABS, SAP2000, RAM, SAFE, RISA, or similar analysis programs
* Deep understanding of building codes including IBC, ASCE 7, ACI, AISC, and other relevant design standards and specifications
* Proven experience designing complex structures such as high-rise buildings, parking structures, bridges, or specialty structures
* Strong project management skills with ability to manage budgets, schedules, and multiple concurrent projects effectively
* Excellent technical communication skills for preparing reports, specifications, and presenting to clients and stakeholders
* Experience with AutoCAD, Revit, or other CAD/BIM software for producing and reviewing structural drawings
* Strong leadership abilities with experience managing engineering teams and mentoring junior staff members
* Knowledge of sustainable design principles, LEED requirements, and high-performance building structural considerations
* Understanding of construction methods, means and methods, cost estimating, and value engineering principles
* Proven ability to work collaboratively in multidisciplinary team environments with architects, contractors, and other consultants
* Strong problem-solving skills with ability to develop creative solutions to complex structural challenges
* Professional affiliations with organizations such as ASCE, SEI, or similar professional engineering societies preferred
----------------------------------------
* Lead structural engineering projects from initial concept and proposal development through design, construction documentation, and construction administration phases
* Perform and review structural analyses and calculations for buildings, bridges, and other structures using engineering software and hand calculations
* Design structural systems including foundations, framing, lateral force-resisting systems, and connections in steel, concrete, wood, and masonry
* Coordinate with architectural, MEP, civil, and other engineering disciplines to integrate structural design with overall project requirements
* Ensure compliance with building codes, seismic requirements, wind load standards, and other regulatory requirements governing structural design
* Prepare and review construction documents including structural drawings, specifications, details, and design reports
* Manage project budgets, schedules, and resources, tracking progress against milestones and proactively addressing issues that could impact delivery
* Serve as primary client contact for structural engineering matters, attending meetings, presenting design solutions, and addressing client concerns
* Review contractor submittals, respond to RFIs, conduct site observations, and provide construction administration services throughout building process
* Mentor junior engineers and designers, reviewing their calculations and drawings, providing technical guidance, and supporting professional development
* Conduct peer reviews of structural designs to ensure quality, constructability, cost-effectiveness, and adherence to engineering standards
* Develop innovative structural solutions that optimize materials, reduce costs, enhance constructability, and meet architectural vision
* Stay current on building codes, engineering standards, new materials, construction technologies, and industry best practices
* Support business development through proposal preparation, client presentations, technical expertise, and relationship building
</t>
        </is>
      </c>
      <c r="G11" s="2" t="inlineStr">
        <is>
          <t>['structural engineering', 'project management', 'professional engineer license', 'structural engineer license', 'structural analysis', 'ETABS', 'SAP2000', 'RAM', 'SAFE', 'RISA', 'building codes', 'IBC', 'ASCE 7', 'ACI', 'AISC', 'AutoCAD', 'Revit', 'CAD', 'BIM software', 'structural design', 'construction administration', 'budget management', 'schedule management', 'technical report writing', 'sustainable design', 'LEED requirements', 'construction methods', 'cost estimating', 'value engineering', 'peer review', 'business development', 'leadership', 'client communication', 'team management', 'mentoring', 'collaboration', 'problem solving', 'technical guidance', 'relationship building', 'presentation skills']</t>
        </is>
      </c>
      <c r="H11" s="2" t="inlineStr">
        <is>
          <t>['pc operating systems', 'microsoft office', 'outlook', 'internet', 'ms excel', 'powerpoint', 'oracle', 'network systems', 'database', 'hardware', 'networking', 'routers', 'safety', 'shipping', 'spreadsheets', 'documentation', 'logistics', 'quality', 'scheduling', 'personnel', 'analysis', 'problem solving', 'communication', 'teamwork', 'training', 'supervision', 'coordination', 'meeting management', 'project management', 'attention to detail']</t>
        </is>
      </c>
      <c r="I11" s="2" t="n">
        <v>20.55</v>
      </c>
      <c r="J11" s="2" t="n">
        <v>5</v>
      </c>
      <c r="K11" s="2" t="n">
        <v>52.07</v>
      </c>
    </row>
    <row r="12">
      <c r="A12" s="2" t="inlineStr">
        <is>
          <t>T11</t>
        </is>
      </c>
      <c r="B12" s="2" t="inlineStr">
        <is>
          <t>General random test</t>
        </is>
      </c>
      <c r="C12" s="2" t="inlineStr">
        <is>
          <t>23015611</t>
        </is>
      </c>
      <c r="D12" s="2" t="inlineStr">
        <is>
          <t>PUBLIC-RELATIONS</t>
        </is>
      </c>
      <c r="E12" s="2" t="inlineStr">
        <is>
          <t xml:space="preserve">         VICE PRESIDENT         Experience      Vice President  ,     04/2018   to   12/2018      Managed all aspects of Epson launch of wearable technology product line including messaging, executive speech and presentation, video script, media relations, social media integration, partner announcements, press releases and other materials, and event logistics Convinced company to conduct press conference during industry event resulting in over 200 media attending and dozens of national media and broadcast stories, including CNN, Fox News, USA Today, CNET, Mashable, Engadget and more Achieved Epson's main objective to be perceived as legitimate competitor to more established industry players such as Google Glass and Fitbit Instrumental in success of (ISC)2, the world's largest association of information security professionals, growing from less than 8,000 members to more than 80,000 in 10 years Conceived (ISC)2 survey of information security profession with resulting coverage in The Wall Street Journal, Fortune, Forbes and numerous other IT and security trade media and establishing CISSP certification as "gold standard" Wrote numerous articles, blogs, speeches and video scripts for top security professionals, including Howard Schmidt, first cybersecurity advisor to the White House Played key role in re-branding iconectiv, a telecommunications services provider and business unit of Ericsson, to focus on emerging markets Wrote messaging for new company vision and incorporated into CEO letters, speeches and other communications to staff and partners; wrote articles, white papers, brochures and website content; managed earned, owned and sponsored media programs, including coverage in USA Today and Yahoo! Finance Dana Point Initiated company-wide update of communications processes to better position firm for growth Introduced company messaging maps for consistent storytelling across content channels Counseled teams on creating relevant, compelling earned and owned media content Secured standalone articles in business and consumer media sites for AI startup, including Axios, TheNextWeb and Venturebeat Guided new hire in becoming top earned media producer Won two client-recommended budget increases upon exceeding program goals.         Vice President  ,     03/2013   to   03/2018      Implemented range of earned, owned and sponsored media initiatives that met or exceeded program goals for influence, including Epson New Ventures division; conversational AI pioneer Nuance Communications, iconectiv and technology startups involved in IoT, data analytics and 5G Continuously offered additional program ideas that resulted in business traction Secured bylined article for Cambridge Semantics in The Financial Times by leveraging Thomson Reuters announcement resulting in two major new business leads Created unprecedented visibility and credibility among key audiences for Reveal Mobile by leveraging its retail store data and securing media placements in the New York Post, USA Today, Yahoo! News, Motley Fool and other newspaper and retail trade media outlets Oversaw production of all communications materials across clients, including press releases and fact sheets, presentations, speeches, brochures, email marketing, social media, white papers, articles, websites and blogs, internal communications and more, ensuring consistent and impactful messaging at every touch point Demonstrated success with verifiable data including earned media analysis, website traffic, social media audience growth and engagement, etc.         Public Relations Manager  ,     06/2011   to   03/2013     Company Name          Achieved global expansion communications program for IoT provider Telit Wireless due to exceeding objectives in North America.         Vice President  ,     01/2001   to   03/2011      Account Management, Maples Communications, Mission Viejo Managed account team for agency's largest client, Toshiba, with $2.4 million in billings annually Developed and executed public relation plans, including product launches, environmental initiatives, community outreach and corporate activities Wrote messages, speeches and video scripts in collaboration with executive team Retained (ISC)2, the world's largest association of information security professionals, for entire agency tenure with 400% budget increase Directed the communications program from beginning for start-up Networks In Motion, providers of the first wireless navigation solutions for GPS-enabled mobile phones, resulting in acquisition four years later.         Education      Bachelor of Arts  :   Journalism      California State University   -   City      Journalism       Summary    Technology communications executive with ability to lead content marketing and public relations programs for brand name and emerging technology companies that accelerate business growth Generates creative ideas that exceed project expectations Expert content developer for owned, earned and sponsored media Makes complex technology stories accessible to business and mainstream audiences Counsels executives on effective messaging and communications strategies Experienced ghost writer of articles, blogs, social media, speeches, video scripts and more Passionate and knowledgeable about the latest technology innovations Industry experience includes telecommunications/5G, the internet of things (IoT), artificial intelligence/machine learning, data analytics and augmented reality/virtual reality Company experience includes Epson, Toshiba, Ericsson, Cisco, Ingram Micro and Nuance Communications       Skills    Account Management, AI, agency, billings, branding, broadcast, brochures, budget, content, client, clients, email, Epson, Finance, Financial, focus, GPS, information security, letters, logistics, marketing, materials, media relations, messaging, navigation, Networks, newspaper, presentations, press, press releases, processes, producer, retail, Reuters, scripts, script, speeches, speech, stories, white papers, telecommunications, phones, Toshiba, video, vision, website, websites, website content, articles      Additional Information      Awards
Winner of three Silver Anvils, the national award for excellence from the Public Relations Society of America     </t>
        </is>
      </c>
      <c r="F12" s="2" t="inlineStr">
        <is>
          <t xml:space="preserve">Public Relations Manager
----------------------------------------
We are seeking a strategic and creative Public Relations Manager to develop and execute comprehensive PR strategies that enhance brand reputation, manage media relationships, and drive positive public perception. This role requires a communications professional who can craft compelling narratives, secure media coverage, manage crisis communications, and coordinate integrated PR campaigns. You will be responsible for media relations, press release development, event coordination, social media strategy, and reputation management while serving as primary spokesperson for organizational communications. The ideal candidate will have exceptional writing and storytelling abilities, strong media contacts, crisis management experience, and proven track record securing meaningful media placements.
----------------------------------------
* Bachelor's degree in Public Relations, Communications, Journalism, or related field; Master's degree preferred
* Minimum 6-8 years of public relations experience with proven track record securing meaningful media coverage for organizations or clients
* Exceptional writing, editing, and storytelling skills with portfolio demonstrating press releases, pitch letters, and published placements
* Established relationships with media contacts across relevant beats including business, technology, lifestyle, or industry-specific journalists
* Strong understanding of media landscape, editorial calendars, newsroom operations, and what makes stories newsworthy
* Experience developing and executing crisis communication strategies and managing sensitive communications situations
* Proven ability to develop strategic PR campaigns that achieve measurable results and support business objectives
* Excellent verbal communication and presentation skills for media interviews, executive briefings, and stakeholder presentations
* Strong relationship-building abilities with talent for establishing trust with journalists, influencers, and key stakeholders
* Experience with media monitoring and PR measurement tools such as Cision, Meltwater, or similar platforms
* Understanding of digital PR including blogger outreach, online reputation management, and earned media in digital channels
* Strategic thinking capabilities with ability to identify opportunities, anticipate challenges, and develop proactive communication strategies
* Strong project management skills with ability to manage multiple campaigns, deadlines, and priorities simultaneously
* Experience working with C-level executives, preparing messaging, and providing media coaching
* Knowledge of industry regulations, ethical standards, and best practices governing public relations activities
* Flexibility to respond to media inquiries and manage issues outside standard business hours when necessary
----------------------------------------
* Develop and implement comprehensive public relations strategies aligned with organizational objectives, brand positioning, and communication goals
* Build and maintain strong relationships with journalists, editors, bloggers, and media outlets across print, broadcast, and digital platforms
* Write, edit, and distribute press releases, media advisories, pitch letters, and other media materials that generate coverage and tell compelling stories
* Secure media placements and interviews in target publications and outlets, pitching story ideas and facilitating journalist access to organizational spokespeople
* Monitor media coverage and public sentiment, tracking mentions, analyzing coverage tone, and providing regular reports to leadership
* Develop and implement crisis communication plans, serving as primary communications contact during issues or negative situations to protect organizational reputation
* Coordinate press conferences, media briefings, and press events including logistics, materials preparation, and spokesperson coaching
* Train executives and spokespeople on media interview techniques, message development, and effective communication strategies
* Collaborate with marketing, social media, and content teams to ensure consistent messaging across all communication channels
* Create thought leadership opportunities through op-eds, bylined articles, speaking engagements, and industry panel participation
* Manage PR agency relationships if applicable, providing direction, reviewing deliverables, and ensuring alignment with organizational priorities
* Develop content for corporate communications including executive communications, employee newsletters, and stakeholder updates
* Plan and coordinate corporate events, community engagement activities, and sponsorship activations that enhance brand visibility
* Measure and report on PR performance using metrics including media impressions, share of voice, sentiment analysis, and campaign effectiveness
</t>
        </is>
      </c>
      <c r="G12" s="2" t="inlineStr">
        <is>
          <t>['public relations', 'media relations', 'crisis communication', 'press release writing', 'media monitoring', 'PR campaign development', 'social media strategy', 'media coaching', 'digital PR', 'event coordination', 'content development', 'media measurement tools', 'executive communications', 'storytelling', 'journalism', 'media pitching', 'strategic thinking', 'communication', 'relationship building', 'presentation skills', 'flexibility', 'project management', 'creativity', 'problem solving']</t>
        </is>
      </c>
      <c r="H12" s="2" t="inlineStr">
        <is>
          <t>['ai', 'account management', 'branding', 'broadcast', 'brochures', 'budget', 'content', 'email', 'epson', 'financial', 'gps', 'information security', 'logistics', 'marketing', 'media relations', 'messaging', 'navigation', 'networks', 'newspaper', 'presentations', 'press releases', 'processes', 'producer', 'retail', 'reuters', 'scripts', 'speeches', 'stories', 'white papers', 'telecommunications', 'video', 'website', 'website content', 'articles', 'leadership', 'creativity', 'communication', 'strategic thinking', 'counseling', 'collaboration', 'problem solving', 'storytelling', 'content development', 'executive messaging']</t>
        </is>
      </c>
      <c r="I12" s="2" t="n">
        <v>89.48</v>
      </c>
      <c r="J12" s="2" t="n">
        <v>29.17</v>
      </c>
      <c r="K12" s="2" t="n">
        <v>64.63</v>
      </c>
    </row>
    <row r="13">
      <c r="A13" s="2" t="inlineStr">
        <is>
          <t>T12</t>
        </is>
      </c>
      <c r="B13" s="2" t="inlineStr">
        <is>
          <t>General random test</t>
        </is>
      </c>
      <c r="C13" s="2" t="inlineStr">
        <is>
          <t>23771896</t>
        </is>
      </c>
      <c r="D13" s="2" t="inlineStr">
        <is>
          <t>PUBLIC-RELATIONS</t>
        </is>
      </c>
      <c r="E13" s="2" t="inlineStr">
        <is>
          <t xml:space="preserve">         PUBLIC RELATIONS OFFICER           Summary     Public Relations knowledgeable about planning, creating and implementing campaign strategies and media relations placement. Together with Public Relations team, we specialize in developing and implementing strategic communication programs of the company.   My backgrounds are in journalism. However I also have expertise in the field of Public Relations. With that knowledge, I know what journalists need to, especially in terms of what they need to make your brand get included in their media. Of course, the company was able to get a good brand image and ultimately can increase sales        Highlights          Public Relations Strategy  Marketing Communications  Media Relations  Relationship building expert      Project management  Persuasive negotiator  Organized and efficient            Accomplishments      Initiated a Public Relations campaign for non-profit on a tight budget.    Initiated groundbreaking Public Relations campaign, for the company, which is more effective, compared with previous efforts.        Experience      Public Relations Officer    October 2014   to   Current     Company Name   －   City        Increase and strengthen the company brand images as a leading herbal pharmacy company in Indonesia and worldwide, also as a company that provide a good quality herbal and medicine products to help people living a better life.  Defined project and company vision, strategies and tactics.  Researched, negotiated, implemented and tracked public relations activities.  Enhance company recognition in the national press to support the sales and marketing teams.  Planned and organized corporate media and other special events.  Developed and implemented public relations business plans each year.  Worked with management to identify trends and developments that might influence PR decisions and strategies.  Managed the editorial content, design and distribution of the internal company newsletter.  Managed all media, press and public relations issues.  Estimated project costs and monitored budgets.  Developed corporate communications strategies and programs, including project timelines.     Projects:       SOHO #BetterU     Health education program organized by a pharmateutical company, SOHO Global Health. As per its name, SOHO #BetterU has a vision to support a better public health. SOHO #BetterU alligns with SOHO Global Health commitment as a pharmaceutical company thus focus on health education.    May 27, 2015   Early Investments, for the Sake of Better Elderly Days     Commemorating National Elderly Day     March 5, 2015   Be Aware of the Danger of Deafness due to Mid-Ear Inflammation     Commemorating the International Ear Care Day       Support CSR (Corporate Social Responsibility) Programs      Socializing the Reading Culture to the Community Official Announcement of the Reading Corner  at the Himmata Foundation Layover House   For this time activity, SOHO Global Health synergizes with other stakeholders i.e. BPP PERHUMAS (Indonesian Association of Community Public Relations), Eduguide, as well as OTP (On That Point) Institute     Events in Gunung Sahari, in Medan, in Pulo Gadung.         Public Relations    May 2013   to   September 2014     Company Name   －   City        Fullfill all the clients need, how to emphasize their brand image, events, etc.  Identified customer needs through market research and analysis.  Defined project and company vision, strategies and tactics.  Researched, negotiated, implemented and tracked client's advertising and public relations activities.  Expanded product and company recognition in the national press to support client's sales and marketing teams.  Established and maintained cooperative relationships with representatives of community, consumer, employee and public interest groups.  Coached client representatives on effective communication with the public and employees.  Managed all media, press and public relations issues.  Conferred with production, graphic design and web-design personnel to coordinate production of corporate communications materials.  Coordinated special events (for example : launching products), monthly, quarterly marketing and community events.          News Reporter    May 2009   to   May 2013     Company Name   －   City        My specific duty are to cover the news from the President of Indonesia, in other words i was an Indonesian Politic and Presidential Journalist.  Presented local news and feature reports in national news programs.  Wrote factually correct, concise and engaging news stories within tight deadlines.  Gathered and verified factual information regarding stories through interviews, observation and research.  Introduced fresh and new angles on previously-reported material to update and inform readers.  Reported and penned front-page breaking news stories and provided real time updates online.  Traveled to location to write reviews from firsthand experience.          Education      Bachelor's   :   Broadcast Journalism  ,   2013    Kwik Kian Gie School of Business   －   City  ,   State  ,   Indonesia     2004 - 2013 Kwik Kian Gie School of Business, Bachelor's Degree (major: Broadcast Journalism)         Select One   :   Social Science  ,   2004    SMUK 7 BPK Penabur Senior High School   －   City  ,   State  ,   Indonesia     2001 - 2004 SMUK 7 BPK Penabur Senior High School, (major: in Social Science)         Skills     •Script Writing  •News Reporting  •Video Shooting  •Video Editing  •Video Productions     </t>
        </is>
      </c>
      <c r="F13" s="2" t="inlineStr">
        <is>
          <t xml:space="preserve">Public Relations Manager
----------------------------------------
We are seeking a strategic and creative Public Relations Manager to develop and execute comprehensive PR strategies that enhance brand reputation, manage media relationships, and drive positive public perception. This role requires a communications professional who can craft compelling narratives, secure media coverage, manage crisis communications, and coordinate integrated PR campaigns. You will be responsible for media relations, press release development, event coordination, social media strategy, and reputation management while serving as primary spokesperson for organizational communications. The ideal candidate will have exceptional writing and storytelling abilities, strong media contacts, crisis management experience, and proven track record securing meaningful media placements.
----------------------------------------
* Bachelor's degree in Public Relations, Communications, Journalism, or related field; Master's degree preferred
* Minimum 6-8 years of public relations experience with proven track record securing meaningful media coverage for organizations or clients
* Exceptional writing, editing, and storytelling skills with portfolio demonstrating press releases, pitch letters, and published placements
* Established relationships with media contacts across relevant beats including business, technology, lifestyle, or industry-specific journalists
* Strong understanding of media landscape, editorial calendars, newsroom operations, and what makes stories newsworthy
* Experience developing and executing crisis communication strategies and managing sensitive communications situations
* Proven ability to develop strategic PR campaigns that achieve measurable results and support business objectives
* Excellent verbal communication and presentation skills for media interviews, executive briefings, and stakeholder presentations
* Strong relationship-building abilities with talent for establishing trust with journalists, influencers, and key stakeholders
* Experience with media monitoring and PR measurement tools such as Cision, Meltwater, or similar platforms
* Understanding of digital PR including blogger outreach, online reputation management, and earned media in digital channels
* Strategic thinking capabilities with ability to identify opportunities, anticipate challenges, and develop proactive communication strategies
* Strong project management skills with ability to manage multiple campaigns, deadlines, and priorities simultaneously
* Experience working with C-level executives, preparing messaging, and providing media coaching
* Knowledge of industry regulations, ethical standards, and best practices governing public relations activities
* Flexibility to respond to media inquiries and manage issues outside standard business hours when necessary
----------------------------------------
* Develop and implement comprehensive public relations strategies aligned with organizational objectives, brand positioning, and communication goals
* Build and maintain strong relationships with journalists, editors, bloggers, and media outlets across print, broadcast, and digital platforms
* Write, edit, and distribute press releases, media advisories, pitch letters, and other media materials that generate coverage and tell compelling stories
* Secure media placements and interviews in target publications and outlets, pitching story ideas and facilitating journalist access to organizational spokespeople
* Monitor media coverage and public sentiment, tracking mentions, analyzing coverage tone, and providing regular reports to leadership
* Develop and implement crisis communication plans, serving as primary communications contact during issues or negative situations to protect organizational reputation
* Coordinate press conferences, media briefings, and press events including logistics, materials preparation, and spokesperson coaching
* Train executives and spokespeople on media interview techniques, message development, and effective communication strategies
* Collaborate with marketing, social media, and content teams to ensure consistent messaging across all communication channels
* Create thought leadership opportunities through op-eds, bylined articles, speaking engagements, and industry panel participation
* Manage PR agency relationships if applicable, providing direction, reviewing deliverables, and ensuring alignment with organizational priorities
* Develop content for corporate communications including executive communications, employee newsletters, and stakeholder updates
* Plan and coordinate corporate events, community engagement activities, and sponsorship activations that enhance brand visibility
* Measure and report on PR performance using metrics including media impressions, share of voice, sentiment analysis, and campaign effectiveness
</t>
        </is>
      </c>
      <c r="G13" s="2" t="inlineStr">
        <is>
          <t>['public relations', 'media relations', 'crisis communication', 'press release writing', 'media monitoring', 'PR campaign development', 'social media strategy', 'media coaching', 'digital PR', 'event coordination', 'content development', 'media measurement tools', 'executive communications', 'storytelling', 'journalism', 'media pitching', 'strategic thinking', 'communication', 'relationship building', 'presentation skills', 'flexibility', 'project management', 'creativity', 'problem solving']</t>
        </is>
      </c>
      <c r="H13" s="2" t="inlineStr">
        <is>
          <t>['public relations', 'marketing communications', 'media relations', 'project management', 'script writing', 'news reporting', 'video shooting', 'video editing', 'video productions', 'relationship building', 'persuasive negotiation', 'organized', 'efficient', 'communication', 'problem solving']</t>
        </is>
      </c>
      <c r="I13" s="2" t="n">
        <v>56.81</v>
      </c>
      <c r="J13" s="2" t="n">
        <v>25</v>
      </c>
      <c r="K13" s="2" t="n">
        <v>67.84</v>
      </c>
    </row>
    <row r="14">
      <c r="A14" s="2" t="inlineStr">
        <is>
          <t>T13</t>
        </is>
      </c>
      <c r="B14" s="2" t="inlineStr">
        <is>
          <t>General random test</t>
        </is>
      </c>
      <c r="C14" s="2" t="inlineStr">
        <is>
          <t>36139251</t>
        </is>
      </c>
      <c r="D14" s="2" t="inlineStr">
        <is>
          <t>FITNESS</t>
        </is>
      </c>
      <c r="E14" s="2" t="inlineStr">
        <is>
          <t xml:space="preserve">         GENERAL MANAGER/FITNESS DIRECTOR           Executive Profile    Highly motivated, team oriented professional wants to contribute to your organization utilizing recognized achievements in management, with an emphasis on, employee/customer relations, program implementations, training, and employee development.  I have been recognized for my exceptional leadership skills, ability to communicate well, and excellent work ethic.          Professional Experience      General Manager/Fitness Director    December 2013   to   Current     Company Name   －   City  ,   State      Manages and supervise approximately 30 Fitness Club employees.  Implements and creates fitness/wellness programs to encourage, reward and offer incentives to members who maintain a regular exercise program.  Performs assessments and offers recommendations for a healthier lifestyle.  Encourages members to maintain a regular exercise program.  Assist, instruct and motivate members by provided knowledge, training principles, and basic information relating to fitness.  Develops and promotes active member programs, including corporate wellness and activities to increase the members' feelings to self-worth and accomplishment.  Enhances, mentors and develops conducive personal training and group fitness programs.  Coordinates fitness center repairs and maintenance.  Assist in the lease/purchase agreement of new equipment for the facility.  Writes, researches, and analyzes information and data to support position with executive management; prepares policies and procedures for management review; obtains approval; plans and directs from inception to event completion; create and monitors budget; assigns tasks; schedules, markets, and advertises events.  Provides mid-level supervisory controls and implements planning, development, evaluation, and promotion of comprehensive fitness center programs and services; researches and develops new programs, classes, operating policies and procedures, and revenue/marketing sources for a variety of fitness, health, leisure, recreational, cultural and sports programs.  Works closely with sales and marketing team to generate sales initiatives through social media and grass roots marketing.  Monitors daily sales activities and meets with management team regularly to provide updates on sales and promotions.  Performs various other duties and assignments as necessary or required.          Assistant Manager Educator lululemon athletica    October 2012   to   December 2014     Company Name   －   City  ,   State      Present on the retail floor, as Floor Manager and Educator, for 75% of working hours.  Educated guests on our product, community and culture Community and events liaison coordinating events through Metro Atlanta.  Oversee the execution of certain deliverables on the manager checklist to include inventory, product and/or community education.  Created daily strategies to meet daily, weekly, monthly and quarterly revenue goals; presented forecast numbers to meet hourly and headcount goals Represented the store at all required meetings and conferences.  Hands-on roll in the development and a coach to Educators &amp; Key Leaders.  Performed personnel reviews and evaluations according to schedule and submitted any subsequent change notices in a timely manner.  Performed and completed other additional projects, duties, and assignments.as required and/or by request, under the direction of the Store Manager Advocate for lululemon athletica's values.          General Manager    June 2007   to   October 2012     Company Name   －   City  ,   State      Supervised 13 personnel of in all aspects relating to club operation: Coordinated schedules and keeps accurate records of attendance and absences.  Provided guidance, training and motivation to staff.  Conducted regular staff meetings.  Monitored and evaluated work performance of all personnel.  Created and maintained positive work environment within the facility.  Managed budget with revenue of $950K and expenses not exceeding $620K exceeding budgeted goals.  Prepared and provided accurate financial information to the corporate office and university in a timely manner.  Solicits prospective corporate and individual members to add to the current membership base of over 1500.  Provided information to prospective members regarding club facilities, programs, membership procedures and pricing policies.  Conducted regular, creative sales activities.  Encouraged members to maintain a regular exercise program.  Assists, instructs and motivates members.  Provided knowledge, training principles, and basic information relating to fitness.  Developed and promoted active member programs and activities to increase the members' feelings to self-worth and accomplishment.  Approved all health club related bills received: forwarded approved documents to corporate in a timely manner.  Provided accurate personnel and payroll information to corporate in a timely manner, including payroll data for independent contractors (aerobic instructors, personal trainers, massage therapists).  Performed personnel reviews and evaluations according to schedule and submitted any subsequent change notices in a timely manner.  Maintained cleanliness, operation and safety of club facilities and equipment.  Ensured that all duties assigned to assistant manger, wellness coordinator and fitness associates were performed in accordance with corporate CSU standards.  Performed various other duties and assignments as necessary or required.          Fitness Coordinator    March 2006   to   June 2007     Company Name   －   City  ,   State      Responsible for coordinating group exercise programs for approximately 600 employees, creating monthly schedules, recruiting new instructors, organizing specialty classes, conducting evaluations and creating annual surveys.  Supervises 3 Fitness Specialists and oversees the entire fitness area in compliance with ACSM guidelines, completes appointment book for scheduling, delegates responsibilities, monitors floor coverage and facilitates quarterly in house trainings.  Responsible for creating company wide monthly newsletter and weekly fit tip, oversees content on company wide website, generates incentive programs and fitness challenges.  Speak and facilitate health, fitness and wellness presentations to onsite and offsite employees and contractors.  Assists in the delivery of health promotion programs (seminars, health fairs, wellness tables, promotional tables, screening, etc.) Accountable for the internship program, contacting schools, interviewing potential candidates, creating assignments and evaluating interns.  Conducts group exercise classes, fitness assessments using ACSM guidelines, program sessions, equipment and new member orientations.  Submits bi-weekly payroll for 6 group exercise instructors and monthly group exercise totals and averages for 15 classes.  Assists with daily administrative duties, clean and check equipment for any issues and/or problems.          Owner/Instructor    March 2004   to   May 2005     Company Name   －   City  ,   State      Owned and operated aerobic studio which offered 8 to 10 fitness classes daily.  Conducted the scheduled classes and managed a staff of 5 certified instructors.  Responsible for the general maintenance and repairs of the business and equipment.  Fully responsible for all physical and financial aspects of the studio.  Attended community, city council and business owners meetings on a monthly basis.  Responsible for the entire studio's advertising and marketing.  Managed an annual budget of $45K.          Wellness Director &amp; Aerobic Coordinator    July 2001   to   February 2004     Company Name   －   City  ,   State      Managed and supervised the Wellness Department which consisted of approximately 30 employees.  Managed 30 group fitness classes and over 25 fitness assessment appointments.  Implemented and evaluated new classes, adult and youth programs, enforced rules and regulations.  Prepared annual departmental budget of $230K, to include expenses, fundraising and gift giving.  Responsible for employees monthly payroll, pay raises, annual reviews, disciplining, training and development.  Coordinated fitness center repairs and maintenance.  Assisted in the lease/purchase agreement of new equipment for the facility.  Participated in monthly staff and cabinet meetings.  Actively motivated staff through positive team building activities and attitude.  Lead and developed a member response team through adhering to member suggestions and member appreciation events.  Receive Character Development Award - 2002.          Corporate Fitness Manager/Director    February 1999   to   February 2007     Company Name   －   City  ,   State      Responsible for implementing and coordinating group exercise programs, personal training sessions, and wellness related activities for over 25 major corporations and universities.  Supervises over 325 group fitness classes a week, 120 Exercise Leaders and 4 Area Directors.  Manages an annual operating payroll budget of over $300K, prepare and collect monthly receivables.  Prepares audit material for annual workers compensation and liability insurance estimates.  Responsible for the company recruiting, advertising, and marketing.          Club Manager/Fitness Coordinator    September 1997   to   February 1999     Company Name   －   City  ,   State      Established and maintained member relations from sales to member services.  Coordinated and taught approximately 6 aerobic classes, implemented training programs for both instructors and members.  Responsible for club appearance and maintenance.  Processed daily sales log calculations and bi-weekly payrolls.          Education      BS   :   Holistic Nutrition  ,   2010    Clayton College of Natural Health          Holistic Nutrition          Accounting &amp; Management Human Resources  ,   1992    California State University          Accounting &amp; Management Human Resources        Skills    Microsoft Windows, Microsoft PowerPoint, Microsoft Outlook, Microsoft Access,
SKILLS 		Internet Explorer and social media   </t>
        </is>
      </c>
      <c r="F14" s="2" t="inlineStr">
        <is>
          <t xml:space="preserve">Personal Training Manager
----------------------------------------
We are seeking an energetic and motivating Personal Training Manager to lead our fitness team and deliver exceptional training experiences that help clients achieve their health and wellness goals. This leadership role requires a certified fitness professional who can manage personal trainers, develop training programs, drive membership growth, and create a positive, results-oriented training culture. You will be responsible for overseeing all personal training operations, conducting client assessments, designing customized workout programs, and ensuring the highest standards of service delivery. The ideal candidate will have extensive fitness knowledge, strong leadership abilities, business acumen, and genuine passion for transforming lives through fitness and wellness.
----------------------------------------
* Bachelor's degree in Exercise Science, Kinesiology, Sports Medicine, or related field preferred
* Current nationally recognized personal training certification required (NASM, ACE, ACSM, NSCA, or equivalent)
* CPR/AED certification and First Aid training required
* Minimum 5-7 years of personal training experience with at least 2-3 years in leadership or management role
* Proven track record of achieving revenue targets, growing personal training departments, and managing successful fitness teams
* Deep knowledge of exercise physiology, biomechanics, program design, nutrition principles, and injury prevention strategies
* Strong sales and business development skills with ability to convert prospects, overcome objections, and build long-term client relationships
* Excellent communication and motivational skills with ability to inspire clients and team members to achieve their potential
* Experience with fitness assessment tools, body composition analysis equipment, and training software platforms
* Knowledge of special populations including seniors, youth athletes, pre/postnatal clients, and individuals with medical conditions or physical limitations
* Strong organizational and time management abilities with capacity to manage multiple priorities and responsibilities simultaneously
* Proficiency with fitness management software, scheduling systems, and point-of-sale platforms
* Leadership qualities including integrity, accountability, empathy, and ability to build cohesive, high-performing teams
* Additional certifications in specialized areas such as corrective exercise, sports performance, nutrition coaching, or group fitness instruction preferred
* Passion for health and wellness with commitment to serving as role model and maintaining personal fitness standards
* Flexibility to work early mornings, evenings, and weekends to accommodate client schedules and facility operational needs
----------------------------------------
* Lead, supervise, and develop team of personal trainers and fitness coaches, providing mentorship, performance feedback, and ongoing professional development
* Conduct comprehensive fitness assessments including body composition analysis, movement screening, cardiovascular testing, and goal-setting consultations with new clients
* Design personalized training programs tailored to individual client needs, fitness levels, goals, and medical considerations using evidence-based exercise science principles
* Deliver high-quality one-on-one and small group training sessions, demonstrating proper exercise techniques, providing motivation, and ensuring client safety
* Develop and implement sales strategies to grow personal training revenue, convert prospects to clients, and maximize trainer booking rates
* Create and manage personal training department budget, track revenue and expenses, analyze financial performance, and implement cost-effective operational improvements
* Establish and monitor key performance metrics including client retention rates, session completion, trainer utilization, and client satisfaction scores
* Build strong relationships with members and clients, addressing concerns promptly, resolving conflicts professionally, and ensuring exceptional service experiences
* Develop specialized training programs and services such as sports performance training, post-rehabilitation programs, nutrition coaching, and group fitness offerings
* Ensure compliance with safety protocols, equipment maintenance standards, industry regulations, and facility policies to maintain safe training environment
* Organize and conduct staff training sessions, workshops, and continuing education opportunities to enhance team knowledge and skills
* Market personal training services through promotional campaigns, social media content, facility tours, fitness challenges, and community events
* Maintain accurate records of client progress, training sessions, payments, and communications using fitness management software systems
* Stay current with fitness industry trends, emerging training methodologies, nutrition research, and competitive landscape to maintain competitive advantage
</t>
        </is>
      </c>
      <c r="G14" s="2" t="inlineStr">
        <is>
          <t>['personal training certification', 'fitness assessments', 'program design', 'exercise physiology', 'biomechanics', 'nutrition principles', 'injury prevention', 'sales strategies', 'business development', 'fitness management software', 'CPR/AED certification', 'first aid', 'budget management', 'client retention', 'body composition analysis', 'movement screening', 'cardiovascular testing', 'special populations knowledge', 'training software platforms', 'point-of-sale platforms', 'corrective exercise', 'sports performance training', 'nutrition coaching', 'group fitness instruction', 'marketing', 'leadership', 'communication', 'motivation', 'team management', 'organizational skills', 'time management', 'accountability', 'empathy', 'problem solving', 'client relationship building', 'conflict resolution', 'adaptability', 'passion for health and wellness']</t>
        </is>
      </c>
      <c r="H14" s="2" t="inlineStr">
        <is>
          <t>['fitness management', 'program implementation', 'employee training', 'budget management', 'sales initiatives', 'social media marketing', 'event planning', 'data analysis', 'customer relations', 'fitness assessments', 'personal training', 'group fitness', 'wellness programs', 'inventory management', 'financial reporting', 'marketing strategies', 'health promotion', 'fitness classes', 'staff supervision', 'community engagement', 'membership sales', 'aerobic instruction', 'equipment maintenance', 'payroll management', 'recruitment', 'public speaking', 'newsletter creation', 'fitness challenges', 'health fairs', 'seminars', 'leadership', 'teamwork', 'communication', 'motivation', 'problem solving', 'organizational skills', 'time management', 'adaptability', 'creativity', 'interpersonal skills', 'customer service', 'mentoring', 'coaching', 'positive attitude', 'initiative', 'collaboration', 'conflict resolution', 'attention to detail', 'strategic thinking', 'empathy', 'relationship building']</t>
        </is>
      </c>
      <c r="I14" s="2" t="n">
        <v>53.65</v>
      </c>
      <c r="J14" s="2" t="n">
        <v>28.95</v>
      </c>
      <c r="K14" s="2" t="n">
        <v>69.69</v>
      </c>
    </row>
    <row r="15">
      <c r="A15" s="2" t="inlineStr">
        <is>
          <t>T14</t>
        </is>
      </c>
      <c r="B15" s="2" t="inlineStr">
        <is>
          <t>General random test</t>
        </is>
      </c>
      <c r="C15" s="2" t="inlineStr">
        <is>
          <t>12472574</t>
        </is>
      </c>
      <c r="D15" s="2" t="inlineStr">
        <is>
          <t>ENGINEERING</t>
        </is>
      </c>
      <c r="E15" s="2" t="inlineStr">
        <is>
          <t xml:space="preserve">         QA ENGINEERING TEAM LEAD         Career Overview    Eight years of progressive technical experience in quality assurance engineering of computer software in windows environment Strong practical and theoretical knowledge of software quality assurance tools and techniques. Proven ability to develop system test strategy and methodology full-scale system integration and testing for quality, reliability, functionality and computability. Expertise in development of IEEE compliant testing documentation Key contributor to software development teams supporting the release of many new products and release of several major upgrades to existing products Experience in testing large and complex client/server database applications Multi-platform product delivery experience on PC system. Experienced with windows graphical products, networking and/or data acquisition software experienced in manual and automated testing working on projects of a diverse scope able to expertise judgment within defined parameters. Strong knowledge in automated and manual black box testing, including acceptance, functional, regression, stress, compatibility and integration testing techniques, bug reporting and error handling. Responsibilities include review software requirement and functional specification documents, participation in code walk-trough and assist in design and development of test plan and procedures To secure a position that will allow me to exercise skills obtained through education and prior work experiences.      Qualifications         Analytical and Problem Solving    Stress Tolerance    Communication Skills    Leadership Skills       Ability to resolve non-routine and complex business issues: Anticipate problems, develop alternate solutions and manage execution successfully    Ability to maintain a high energy level for extended periods of time    Ability to communicate clearly and efficiently both verbally and in writing. Ability to develop and maintain close working relationships with end users, business analysts, documentation specialists, other testers and developers and senior management    Experience in building and leading close-knit teams in a demanding environment with ambiguous or undefined and frequently changing requirements                 Work Experience      Company Name     March 2001   to   July 2001     QA Engineering Team Lead   City  ,   State    Imagicast(TM) is the first end-to-end service that gives today's educated consumers exactly what they want on the retail floor- the rich product information, personalization and access to the unlimited inventory of the Internet combined with the immediate gratification of an in-store purchase. The primary responsibility for the quality of our Imagicast product line, lead the QA team assigned to the Imagicast related quality tasks, established appropriate QA methods, inspections, tests and documentation to verify software quality prior to release in a shipping product. Also, was involved in the diagnosis of product failures or performance problems reported from the field. QA tasks applicable to the product included verifying operation of a DVD playback system, verifying operation of peripheral devices (e.g. keyboard, printer) connected to the embedded system, verifying data collection functions over a wireless data network and verifying presentation of HTML pages on an internet device. Performed QA tests on complex, multi threaded systems and interpreting specifications for product features and designed appropriate test cases. Applied QA processes to reveal functional and performance problems affecting web pages in real time embedded systems. Responsibilities included verifying data warehousing and data mining applications used for business intelligence, e-business server side applications, multi-channel business applications, personalization features, and virtual inventory management applications typically found in a 'clicks and mortar' business        Company Name     May 2000   to   February 2001     Quality Assurance Engineering Manager   City  ,   State    SenticaXchange(TM) is the mobile solution that quickly enables alerts, two-way push and pull transactions and content delivery to all wireless devices as well as landline phones. The Sentica Xchange(TM) approach enables users or applications to initiate communication sessions and complete transactions at any time, interact and transact with their on-the-go subscribers and receive immediate confirmation and response over telephones, cell phones, wireless application protocol (WAP) devices, PDAs (Palm VII, CE devices and Pocket PC) and pagers as well as to build a single implementation for any desired application and enable all text, voice, image and video data to all communications devices. SenticaXchange(TM) System Administration and Management Module functionality provides full access to customer information from each touch-point in the enterprise and to each customer or employees who interact with the customer. These applications provide the breadth of functionality needed to succeed in the competitive wireless business. Primarily responsible for performing analysis of existing job flows, coordination and update of systems documentation, and providing proposals for change where needed and assisting with test execution Performed analysis and Test Document design for different projects within SenticaXchange(TM) including ADT - GUI Tool - Application Development Tool, and Composer API and SAM - System Administration Management, which is an interface for utilizing UNIX and Oracle/SQL, and various network protocols.        Company Name     November 1998   to   May 2000     QA Lead for Customer Care/Service Applications   City  ,   State    Oracle Customer Care/Service Applications - full business process management is provided with functionality in support, scheduling and dispatching spare parts, logistics, service billing and field service as well as in contracts. Rounding out the offering, customer care functionality provides full access to customer information from each touch-point in the enterprise and to each customer care agent or other employees who interact with the customer. These applications provide the breadth of functionality needed to succeed in the competitive support, field service and depot repair business. Full business process management is provided with functionality in support, scheduling and dispatching, spare parts, logistics, and service billing and mobile field service as well as in contracts from the. Rounding out the offering, customer care functionality provides full access to customer information from each touch-point in the enterprise and to each customer care agent or other employees who interact with the customer. Performed analysis and Test Document designfor Oracle Customer Care/Service Applications including Oracle Telephony Management (OTM) system. OTM is a high-volume cross-platform interface engine utilizing UNIX 10.x/C++, Oracle/SQL, and various network protocols. Primarily responsible for performing analysis of existing job flows, coordination and update of systems documentation, and providing proposals for change where needed and assisting with test execution Oracle Maintenance Repair and Overhaul (MRO) and System Resource Planning Modules (SRP) - Performed a high- to medium-level analysis of Maintenance Repair and Overhaul (MRO) and System Resource Planning (SRP) Modules within Oracle Applications. These systems are decentralized and running on various platforms. Primarily responsible for oversight of QA Testing process &amp; deliverables. Provided a detailed recommendation, including complete time and cost estimations, for test processes including direction, management, and oversight of activities involved in defining the related requirements, infrastructure, standards, training, support, methods, and procedures. Also heavily involved in the strategic planning related to corporate-wide Year 2000 certification. Coordinated end-user and systems support staff training. Administered issues management, required escalations, jeopardy notifications, and resolutions. Provided verbal and written status reports to senior-level management on a regular basis. Worked closely with both civil and software engineers to create an easy to use and understand informational product in a NT 4.0 environment Provided change, risk, and implementation management. Held ultimate responsibility for all deliverables, status reports, and final product delivery Designed and developed a QA Test Plan for manual and automated Test Scripts for quality assurance of Windows-based applications and their functionality. Responsibilities included coordination of application support activities, application analysis and testing, as well as operating system support and maintenance. Also assisted with the coordination and delivery of end-user training        Company Name     February 1998   to   November 1998     Mail - Software Quality Engineer II   City  ,   State    As a Quality Assurance Manager my role and responsibility included leading a QA team in black box and white box testing of a distributed architecture system with client and server components and proactively to be involved in the code walk trough and design review meetings to learn about the product and have great understanding of the software developed and be able to execute testing from low-level communications protocols to backend database systems. Lead developing test plans, test cases and regression suites and make sure that test plans are executed and results communicated and developed strategies together with the development and QA team are improving the quality/testability of our components and usability of final products.        Company Name     September 1997   to   February 1998     Senior Quality Assurance Analyst   City  ,   State    Foster City Electronic Invoice Presentment is a new enhancement to Visa e-Pay Service and provides Member Financial Institutions the ability to offer Billers and Retail Customers electronic invoice delivery capability. EIP system is based on Windows NT 4.0 platform and is developed using Visual Basic and Access database as the back end. System performs data transport via the following communication channels: MS Exchange, Virtual Area Network (VAN) LAN, CompuServe and Sprint-Net Responsible for developing of low-level QA Test Plan and QA Reference Documentation and QA Findings Document for the Pilot project. Assist in development of new testing methods and procedures, and improving testing efficiencies. Recommended methods for automating testing using QA Partners a tool Perform Acceptance, functional, GUI usability, and error handling stress and regression testing using black box and gray box testing techniques. Validate that data integrity and security is presented on all levels of data transport: verify transmission completeness against the database, compare input with output using MS-DOS batch file, check files format against the known set of templates, test data encryption and password protection Interviewed new applicants for QA Analyst positions for the project Trained new members of the team for the their first days Assigned responsibilities to the team members and wrote daily status reports, which included summery of the activities performed during each shift, to the Project Lead. Presented QA Group on the Department meetings as a QA Team Lead and conference calls every 4 hours, which included report of the progress in the testing cycle. Made sure that needed support was provided to the QA Team from the Developing Team. Performed manual and automated testing of the application. Entered open/found Drs/bugs into TRACKER bug tracking database and verified that Drs/bugs was close/fixed. Wrote and executed test cases for acceptance, boundary, performance, regression, volume and stress testing. Developed and performed automated test cases using QA Partner 4.0 in Windows NT environment. Wrote "The Findings Document" - a summary document of QA Team analyses, findings, suggestions and/or concerns found during the testing cycle on the project        Company Name     March 1993   to   September 1997     Software Quality Assurance   City  ,   State    Day-Timer Organizer 2.0 for Windows 3.1/3.11 personal manager with advanced features (works with Day-Timer brand name paper of different format).-personal manager with advanced features (works with Day-Timer brand name paper of different format). Test Client/Server Application - database application developed for non-profit organization (Clients, donators, employees, events, etc.). The database was developed in MS Access and MS Visual Basic. It runs under Windows 95. Test functionality of the application creating, modifying and deleting records. Provide regression, acceptance, unit and integration testing. Create and execute cases for regression testing of designating areas of testing. Develop automated test suites utilizing QA Partner 3.5, emphasized testing of the features such as Printing Envelopes and Labels, User Preferences, Startup Screen. Entered bugs into Lotus Notes bug tracking database, verified bugs        Education and Training      National Education Center      Management    City  ,   State  ,   US    08/93-02/94 Management Minor, National Education Center, San Francisco, California        Kensington Training Program          City  ,   State  ,   US    08/93-02/94 Testing Computer Software, Kensington Training Program, San Mateo, California        Technion University      BS  :   Electrical Engineering    City  ,     IL    01/90-05/93 BS Electrical Engineering - Technion University - Haifa, Israel        Certifications    National Education Center      Professional Affiliations    Electronic Invoice Presentment is a new enhancement to Visa e-Pay Service and provides Member Financial Institutions the ability to offer Billers and Retail Customers electronic invoice delivery capability. EIP system is based on Windows NT 4.0 platform and is developed using Visual Basic and Access database as the back end. System performs data transport via the following communication channels: MS Exchange, Virtual Area Network (VAN) LAN, CompuServe and Sprint-Net Responsible for developing of low-level QA Test Plan and QA Reference Documentation and QA Findings Document for the Pilot project. Assist in development of new testing methods and procedures, and improving testing efficiencies. Recommended methods for automating testing using QA Partners a tool Perform Acceptance, functional, GUI usability, and error handling stress and regression testing using black box and gray box testing techniques. Validate that data integrity and security is presented on all levels of data transport: verify transmission completeness against the database, compare input with output using MS-DOS batch file, check files format against the known set of templates, test data encryption and password protection Interviewed new applicants for QA Analyst positions for the project; Trained new members of the team for the their first days; Assigned responsibilities to the team members and wrote daily status reports, which included summery of the activities performed during each shift, to the Project Lead. Presented QA Group on the Department meetings as a QA Team Lead and conference calls every 4 hours, which included report of the progress in the testing cycle. Made sure that needed support was provided to the QA Team from the Developing Team. Performed manual and automated testing of the application. Entered open/found Drs/bugs into TRACKER bug tracking database and verified that Drs/bugs was close/fixed. Wrote and executed test cases for acceptance, boundary, performance, regression, volume and stress testing. Developed and performed automated test cases using QA Partner 4.0 in Windows NT environment. Wrote "The Findings Document" - a summary document of QA Team analyses, findings, suggestions and/or concerns found during the testing cycle on the project      Skills    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   </t>
        </is>
      </c>
      <c r="F15" s="2" t="inlineStr">
        <is>
          <t xml:space="preserve">Structural Engineering Project Manager
----------------------------------------
We are seeking an experienced Structural Engineering Project Manager to lead complex structural design projects for commercial, residential, and infrastructure developments. This senior role requires a licensed professional engineer who can manage multidisciplinary teams, coordinate with architects and contractors, ensure code compliance, and deliver innovative structural solutions on time and within budget. You will be responsible for overseeing project design from concept through construction administration, managing client relationships, mentoring engineers, and ensuring technical excellence across all deliverables. The ideal candidate will have deep structural engineering expertise, strong project management abilities, excellent client communication skills, and proven track record successfully delivering large-scale structural projects.
----------------------------------------
* Bachelor's degree in Civil or Structural Engineering required; Master's degree in Structural Engineering preferred
* Professional Engineer (PE) license required; Structural Engineer (SE) license highly preferred
* Minimum 8-12 years of progressive structural engineering experience with at least 4 years managing projects and teams
* Comprehensive knowledge of structural analysis, design principles, and engineering theory for various structural systems and materials
* Expert proficiency with structural engineering software including ETABS, SAP2000, RAM, SAFE, RISA, or similar analysis programs
* Deep understanding of building codes including IBC, ASCE 7, ACI, AISC, and other relevant design standards and specifications
* Proven experience designing complex structures such as high-rise buildings, parking structures, bridges, or specialty structures
* Strong project management skills with ability to manage budgets, schedules, and multiple concurrent projects effectively
* Excellent technical communication skills for preparing reports, specifications, and presenting to clients and stakeholders
* Experience with AutoCAD, Revit, or other CAD/BIM software for producing and reviewing structural drawings
* Strong leadership abilities with experience managing engineering teams and mentoring junior staff members
* Knowledge of sustainable design principles, LEED requirements, and high-performance building structural considerations
* Understanding of construction methods, means and methods, cost estimating, and value engineering principles
* Proven ability to work collaboratively in multidisciplinary team environments with architects, contractors, and other consultants
* Strong problem-solving skills with ability to develop creative solutions to complex structural challenges
* Professional affiliations with organizations such as ASCE, SEI, or similar professional engineering societies preferred
----------------------------------------
* Lead structural engineering projects from initial concept and proposal development through design, construction documentation, and construction administration phases
* Perform and review structural analyses and calculations for buildings, bridges, and other structures using engineering software and hand calculations
* Design structural systems including foundations, framing, lateral force-resisting systems, and connections in steel, concrete, wood, and masonry
* Coordinate with architectural, MEP, civil, and other engineering disciplines to integrate structural design with overall project requirements
* Ensure compliance with building codes, seismic requirements, wind load standards, and other regulatory requirements governing structural design
* Prepare and review construction documents including structural drawings, specifications, details, and design reports
* Manage project budgets, schedules, and resources, tracking progress against milestones and proactively addressing issues that could impact delivery
* Serve as primary client contact for structural engineering matters, attending meetings, presenting design solutions, and addressing client concerns
* Review contractor submittals, respond to RFIs, conduct site observations, and provide construction administration services throughout building process
* Mentor junior engineers and designers, reviewing their calculations and drawings, providing technical guidance, and supporting professional development
* Conduct peer reviews of structural designs to ensure quality, constructability, cost-effectiveness, and adherence to engineering standards
* Develop innovative structural solutions that optimize materials, reduce costs, enhance constructability, and meet architectural vision
* Stay current on building codes, engineering standards, new materials, construction technologies, and industry best practices
* Support business development through proposal preparation, client presentations, technical expertise, and relationship building
</t>
        </is>
      </c>
      <c r="G15" s="2" t="inlineStr">
        <is>
          <t>['structural engineering', 'project management', 'professional engineer license', 'structural engineer license', 'structural analysis', 'ETABS', 'SAP2000', 'RAM', 'SAFE', 'RISA', 'building codes', 'IBC', 'ASCE 7', 'ACI', 'AISC', 'AutoCAD', 'Revit', 'CAD', 'BIM software', 'structural design', 'construction administration', 'budget management', 'schedule management', 'technical report writing', 'sustainable design', 'LEED requirements', 'construction methods', 'cost estimating', 'value engineering', 'peer review', 'business development', 'leadership', 'client communication', 'team management', 'mentoring', 'collaboration', 'problem solving', 'technical guidance', 'relationship building', 'presentation skills']</t>
        </is>
      </c>
      <c r="H15" s="2" t="inlineStr">
        <is>
          <t>['quality assurance', 'testing', 'access', 'regression testing', 'visual basic', 'client/server', 'integration testing', 'lotus notes', 'microsoft windows', 'ms access', 'ms visual basic', 'software quality assurance', 'windows 95', 'documentation', 'network protocols', 'oracle', 'sql', 'unix', 'automated test scripts', 'c++', 'business process management', 'telephony', 'test scripts', 'graphical user interface', 'wireless', 'black box testing', 'data acquisition', 'databases', 'java', 'javascript', 'linux', 'ms office', 'networking', 'problem solving', 'rdbms', 'software development', 'software testing', 'automated testing', 'data integrity', 'encryption', 'file', 'invoice', 'lan', 'ms exchange', 'ms-dos', 'data mining', 'data warehousing', 'e-business', 'html', 'qa engineering', 'real time embedded systems', 'shipping', 'analytical', 'problem solving', 'stress tolerance', 'communication skills', 'leadership skills', 'teamwork', 'adaptability', 'relationship building', 'training', 'mentoring', 'conflict resolution']</t>
        </is>
      </c>
      <c r="I15" s="2" t="n">
        <v>20.55</v>
      </c>
      <c r="J15" s="2" t="n">
        <v>7.5</v>
      </c>
      <c r="K15" s="2" t="n">
        <v>57.42</v>
      </c>
    </row>
    <row r="16">
      <c r="A16" s="2" t="inlineStr">
        <is>
          <t>T15</t>
        </is>
      </c>
      <c r="B16" s="2" t="inlineStr">
        <is>
          <t>General random test</t>
        </is>
      </c>
      <c r="C16" s="2" t="inlineStr">
        <is>
          <t>11624880</t>
        </is>
      </c>
      <c r="D16" s="2" t="inlineStr">
        <is>
          <t>PUBLIC-RELATIONS</t>
        </is>
      </c>
      <c r="E16" s="2" t="inlineStr">
        <is>
          <t xml:space="preserve">         COMMUNICATIONS COORDINATOR       Summary     Creative and highly-motivated Communications and Marketing professional with experience creating engaging and interesting work that achieves results.       Highlights          Adobe Photoshop, InDesign, Illustrator,   Experience with mobile applications,   Microsoft Office Suite       Constant Contact and Mailchimp  Etapestry            Accomplishments       2015 Folio Magazine: Eddie Award Finalist   - Association / Non-Profit (B-to-B) – Single Article – Less than 6 Issues  [VPP Participants' Association's magazine—The Leader]    Raised circulation of organization's magazine in one year by more than 2,500 issues (VPP Participants' Association)  Promoted and helped execute fundraising benefit/auction and concert; raised over $9,000. (Susquehanna Life Magazine)        Work History      Company Name                  Experience      Communications Coordinator   10/2014   to   Current     Company Name   City  ,   State       Authored articles on featured topics, current events and human interest stories that stimulated interest to increase readership of the organization's magazine; increased circulation by more than 2,000.  Managed content and designed the layout and look of the company's conference mobile app Created webpage copy for newly designed website Wrote Ran the company's Facebook and Twitter Accounts.          Communications and Editorial Assistant   05/2014   to   09/2014     Company Name   City  ,   State       Created event listings, media lists and press releases for the magazine.  Promoted and helped execute fundraising benefit/auction and concert; raised over $9,000.  Customer relations on phone and in the office.          Communications Intern   05/2013   to   08/2013     Company Name   City  ,   State       Created various forms of communication pieces including a survey, press release, newsletter articles, event invitation, spreadsheets of competing organizations, etc.  Created several web pages for company and improved the layout and organization of company's website.          Server and Host   02/2011   to   08/2011     Company Name   City  ,   State       Strengthened customer base and close relationships with patrons of restaurant.  Provided prompt service while taking orders, serving food and closing the check.  Helped clean and organize kitchen and restaurant.  Helped set up and serve parties and events of more than 100 people.  Experience and knowledge in fine dining.          Public Relations Volunteer   09/2012   to   12/2012     Company Name   City  ,   State       Met with client throughout the semester to discuss their needs for strategic communications.  Created various forms of public relations writing assignments for clientincluding pitch letters, news releases, fliers, fact sheets, feature stories, media lists, and created script for public service announcement.          Public Relations Volunteer   09/2012   to   12/2012     Company Name   City  ,   State       Met with head of Elon University Health and Human Performance department to create strategic communications for client.  Created focus group questions, survey, and completed focus group with Elon students to measure students' beliefs and opinions about the department of Health/Human Performance.  Created report of the research and presented findings of research to Department of Health/Human Performance.          Education      Bachelor of Arts  :   Strategic Communications   May 2014       Elon University   City  ,   State       GPA:   GPA: 3.71 Graduated Magna Cum Laude Dean's List Fall 2010, Spring 2011, Spring 2012, President's List Fall 2012, Spring 2013, Fall 2013; Spring 2014
Inducted into National Communications Association, Lambda Pi Eta
Inducted into National Social Science Honor Society, Pi Gamma Mu
Inducted into the International Sociology Honor Society, Alpha Kappa Delta     Strategic Communications GPA: 3.71 Graduated Magna Cum Laude Dean's List Fall 2010, Spring 2011, Spring 2012, President's List Fall 2012, Spring 2013, Fall 2013; Spring 2014   Inducted into National Communications Association, Lambda Pi Eta   Inducted into National Social Science Honor Society, Pi Gamma Mu   Inducted into the International Sociology Honor Society, Alpha Kappa Delta         Interests    Member of Public Relations Student Society of America - "1000 Thanks" Program Contributor Received over 1500 thank-you cards from university community (Fall 2013) Completed service-learning work with nonprofit organization, Sustainable Alamance, helped plan and coordinate an event that helped raise over $1,000. Volunteered with Elon University's Student Government Association to promote their organization Member of academic organization, Theta Psi Alpha (Spring 2013) House Representative in The Station at Mill Point residence community (Fall-Spring 2013) Study Abroad: Studied ecotourism abroad in Australia for winter term in January 2014. Visited the cities of Sydney, Brisbane, Cairns, Melbourne, and Tasmania and learned about sustainable travel and tourism. Relevant Coursework: Communications in a Global Age, Media Writing, Strategic Campaigns, Health Communications, Public Relations &amp; Civic Responsibility, Digital Media Convergence, Strategic Writing, Communication Research, Corporate Publishing, Capstone in Communications, Advertising in Society, Intro to Marketing       Additional Information      Past Extracurricular Activities: Member of Public Relations Student Society of America - "1000 Thanks" Program Contributor Received over 1500 thank-you cards from university community (Fall 2013) Completed service-learning work with nonprofit organization, Sustainable Alamance, helped plan and coordinate an event that helped raise over $1,000. Volunteered with Elon University's Student Government Association to promote their organization Member of academic organization, Theta Psi Alpha (Spring 2013) House Representative in The Station at Mill Point residence community (Fall-Spring 2013) Study Abroad: Studied ecotourism abroad in Australia for winter term in January 2014. Visited the cities of Sydney, Brisbane, Cairns, Melbourne, and Tasmania and learned about sustainable travel and tourism.         Skills     Adobe Photoshop,Illustrator, InDesign  Experience with Cvent Crowdcompass' mobile application software  Microsoft Office      Constant Contact, Mailchimp    </t>
        </is>
      </c>
      <c r="F16" s="2" t="inlineStr">
        <is>
          <t xml:space="preserve">Public Relations Manager
----------------------------------------
We are seeking a strategic and creative Public Relations Manager to develop and execute comprehensive PR strategies that enhance brand reputation, manage media relationships, and drive positive public perception. This role requires a communications professional who can craft compelling narratives, secure media coverage, manage crisis communications, and coordinate integrated PR campaigns. You will be responsible for media relations, press release development, event coordination, social media strategy, and reputation management while serving as primary spokesperson for organizational communications. The ideal candidate will have exceptional writing and storytelling abilities, strong media contacts, crisis management experience, and proven track record securing meaningful media placements.
----------------------------------------
* Bachelor's degree in Public Relations, Communications, Journalism, or related field; Master's degree preferred
* Minimum 6-8 years of public relations experience with proven track record securing meaningful media coverage for organizations or clients
* Exceptional writing, editing, and storytelling skills with portfolio demonstrating press releases, pitch letters, and published placements
* Established relationships with media contacts across relevant beats including business, technology, lifestyle, or industry-specific journalists
* Strong understanding of media landscape, editorial calendars, newsroom operations, and what makes stories newsworthy
* Experience developing and executing crisis communication strategies and managing sensitive communications situations
* Proven ability to develop strategic PR campaigns that achieve measurable results and support business objectives
* Excellent verbal communication and presentation skills for media interviews, executive briefings, and stakeholder presentations
* Strong relationship-building abilities with talent for establishing trust with journalists, influencers, and key stakeholders
* Experience with media monitoring and PR measurement tools such as Cision, Meltwater, or similar platforms
* Understanding of digital PR including blogger outreach, online reputation management, and earned media in digital channels
* Strategic thinking capabilities with ability to identify opportunities, anticipate challenges, and develop proactive communication strategies
* Strong project management skills with ability to manage multiple campaigns, deadlines, and priorities simultaneously
* Experience working with C-level executives, preparing messaging, and providing media coaching
* Knowledge of industry regulations, ethical standards, and best practices governing public relations activities
* Flexibility to respond to media inquiries and manage issues outside standard business hours when necessary
----------------------------------------
* Develop and implement comprehensive public relations strategies aligned with organizational objectives, brand positioning, and communication goals
* Build and maintain strong relationships with journalists, editors, bloggers, and media outlets across print, broadcast, and digital platforms
* Write, edit, and distribute press releases, media advisories, pitch letters, and other media materials that generate coverage and tell compelling stories
* Secure media placements and interviews in target publications and outlets, pitching story ideas and facilitating journalist access to organizational spokespeople
* Monitor media coverage and public sentiment, tracking mentions, analyzing coverage tone, and providing regular reports to leadership
* Develop and implement crisis communication plans, serving as primary communications contact during issues or negative situations to protect organizational reputation
* Coordinate press conferences, media briefings, and press events including logistics, materials preparation, and spokesperson coaching
* Train executives and spokespeople on media interview techniques, message development, and effective communication strategies
* Collaborate with marketing, social media, and content teams to ensure consistent messaging across all communication channels
* Create thought leadership opportunities through op-eds, bylined articles, speaking engagements, and industry panel participation
* Manage PR agency relationships if applicable, providing direction, reviewing deliverables, and ensuring alignment with organizational priorities
* Develop content for corporate communications including executive communications, employee newsletters, and stakeholder updates
* Plan and coordinate corporate events, community engagement activities, and sponsorship activations that enhance brand visibility
* Measure and report on PR performance using metrics including media impressions, share of voice, sentiment analysis, and campaign effectiveness
</t>
        </is>
      </c>
      <c r="G16" s="2" t="inlineStr">
        <is>
          <t>['public relations', 'media relations', 'crisis communication', 'press release writing', 'media monitoring', 'PR campaign development', 'social media strategy', 'media coaching', 'digital PR', 'event coordination', 'content development', 'media measurement tools', 'executive communications', 'storytelling', 'journalism', 'media pitching', 'strategic thinking', 'communication', 'relationship building', 'presentation skills', 'flexibility', 'project management', 'creativity', 'problem solving']</t>
        </is>
      </c>
      <c r="H16" s="2" t="inlineStr">
        <is>
          <t>['adobe photoshop', 'indesign', 'illustrator', 'microsoft office suite', 'constant contact', 'mailchimp', 'etapestry', 'cvent crowdcompass', 'mobile applications', 'communication', 'creativity', 'teamwork', 'customer relations', 'problem solving', 'strategic thinking', 'event planning', 'writing', 'research', 'public relations']</t>
        </is>
      </c>
      <c r="I16" s="2" t="n">
        <v>60.02</v>
      </c>
      <c r="J16" s="2" t="n">
        <v>20.83</v>
      </c>
      <c r="K16" s="2" t="n">
        <v>59.32</v>
      </c>
    </row>
    <row r="17">
      <c r="A17" s="2" t="inlineStr">
        <is>
          <t>T16</t>
        </is>
      </c>
      <c r="B17" s="2" t="inlineStr">
        <is>
          <t>General random test</t>
        </is>
      </c>
      <c r="C17" s="2" t="inlineStr">
        <is>
          <t>13557622</t>
        </is>
      </c>
      <c r="D17" s="2" t="inlineStr">
        <is>
          <t>DESIGNER</t>
        </is>
      </c>
      <c r="E17" s="2" t="inlineStr">
        <is>
          <t xml:space="preserve">         VR DESIGNER       Summary    A Game Designer with exceptional modeling and prioritization skills looking for a career in an organization that would enhance and further skillset.        Experience     01/2017       VR Designer    Company Name   －   City  ,   State      Help facilitate the process of Game Development using Unity 5 and virtual reality.  T.A.  for Boeing Game Development course at Chronos Global Academy.  3D Modeler, Texture, Lighting and Sound special for Unity 5 and Unreal Engine 4.  Sales and Marktering of VR titles on Steam and Vive-port
Construction, John Ewing.         01/2016       Game Tester    Company Name   －   City  ,   State      Provided expertise in testing games.  Reported results and made sure the quality was production ready.  Worked with teams in game functionality using multi language applications.         01/2015         City  ,   State            Education and Training     2014     Advanced Modeling, Advanced Animation, Level and World Building.
  Having a passion for weed and its comsumers and excellents in people skills
  Able to distinguish Cannabis strains, such as Sativa vs. Indica vs. Hybrid  :   Fine Art and Game Design Animation/FX Artist    Sanford Brown   －   City  ,   State      Fine Art and Game Design Animation/FX Artist        Skills    3D, Photoshop, Animation, game design, Lighting, Maya, Modeling, Painter, people skills, quality, reality, Rendering, Sales, Sound, Sound Design     </t>
        </is>
      </c>
      <c r="F17" s="2" t="inlineStr">
        <is>
          <t xml:space="preserve">Senior UX/UI Designer
----------------------------------------
We are looking for a talented Senior UX/UI Designer to create exceptional digital experiences that delight users and drive business results. This role requires a creative professional who combines user-centered design thinking with strong visual design skills and technical knowledge. You will be responsible for leading design projects from concept to completion, conducting user research, creating wireframes and prototypes, and collaborating with cross-functional teams to bring innovative solutions to life. The ideal candidate will have a strong portfolio demonstrating expertise in both user experience strategy and interface design, along with a passion for solving complex design challenges.
----------------------------------------
* Bachelor's degree in Design, Human-Computer Interaction, Computer Science, or related field; Master's degree preferred
* Minimum 5-7 years of professional experience in UX/UI design with a strong portfolio showcasing successful digital product design work
* Expert proficiency in design tools including Figma, Sketch, Adobe Creative Suite, and prototyping tools such as InVision or Principle
* Strong understanding of user-centered design principles, design thinking methodology, and human-computer interaction best practices
* Demonstrated experience conducting user research, usability testing, and translating insights into actionable design improvements
* Solid understanding of front-end development technologies including HTML, CSS, and JavaScript to effectively collaborate with engineering teams
* Knowledge of accessibility standards (WCAG) and experience designing inclusive experiences for users with diverse abilities
* Excellent visual design skills with strong attention to detail, typography, color theory, and composition
* Experience building and maintaining design systems at scale for complex products with multiple platforms and touchpoints
* Strong communication and presentation skills with ability to articulate design decisions and influence stakeholders at all levels
* Ability to work effectively in fast-paced, agile environments and manage multiple projects with competing priorities
* Experience with design analytics and A/B testing to measure and optimize design performance
* Portfolio demonstrating problem-solving skills, design process, and measurable impact on user experience and business metrics
----------------------------------------
* Lead end-to-end design processes for web and mobile applications, from initial research and concept development through final implementation and iteration
* Conduct comprehensive user research including interviews, surveys, usability testing, and analytics analysis to understand user needs, behaviors, and pain points
* Develop user personas, journey maps, user flows, and information architecture diagrams to guide design decisions and communicate user insights
* Create wireframes, interactive prototypes, and high-fidelity mockups using industry-standard design tools such as Figma, Sketch, or Adobe XD
* Design intuitive, accessible, and visually compelling user interfaces that align with brand guidelines and design system standards
* Collaborate closely with product managers, developers, and stakeholders to ensure design feasibility, alignment with business goals, and successful implementation
* Establish and maintain comprehensive design systems including component libraries, style guides, and design patterns to ensure consistency across products
* Plan and facilitate design workshops, brainstorming sessions, and design critiques to foster collaboration and generate innovative solutions
* Advocate for user-centered design principles and best practices throughout the organization, educating team members on UX methodology and value
* Stay current with emerging design trends, tools, technologies, and accessibility standards, continuously improving skills and sharing knowledge with the team
* Mentor junior designers, providing guidance, feedback, and support to help them develop their skills and grow professionally
* Present design concepts and rationale to stakeholders and leadership, articulating design decisions and incorporating feedback effectively
</t>
        </is>
      </c>
      <c r="G17" s="2" t="inlineStr">
        <is>
          <t>['UX design', 'UI design', 'user research', 'wireframing', 'prototyping', 'Figma', 'Sketch', 'Adobe Creative Suite', 'InVision', 'Principle', 'design thinking', 'human-computer interaction', 'usability testing', 'front-end development', 'HTML', 'CSS', 'JavaScript', 'accessibility standards', 'WCAG', 'visual design', 'typography', 'color theory', 'composition', 'design systems', 'design analytics', 'A/B testing', 'communication', 'presentation', 'collaboration', 'problem solving', 'creativity', 'mentoring', 'time management', 'adaptability', 'stakeholder management']</t>
        </is>
      </c>
      <c r="H17" s="2" t="inlineStr">
        <is>
          <t>['unity 5', 'unreal engine 4', '3d modeling', 'texturing', 'lighting', 'sound design', 'photoshop', 'animation', 'game design', 'maya', 'rendering', 'sales', 'quality assurance', 'modeling', 'prioritization', 'teamwork', 'communication', 'people skills']</t>
        </is>
      </c>
      <c r="I17" s="2" t="n">
        <v>15.87</v>
      </c>
      <c r="J17" s="2" t="n">
        <v>2.86</v>
      </c>
      <c r="K17" s="2" t="n">
        <v>41.89</v>
      </c>
    </row>
    <row r="18">
      <c r="A18" s="2" t="inlineStr">
        <is>
          <t>T17</t>
        </is>
      </c>
      <c r="B18" s="2" t="inlineStr">
        <is>
          <t>General random test</t>
        </is>
      </c>
      <c r="C18" s="2" t="inlineStr">
        <is>
          <t>Monitor food preparation methods</t>
        </is>
      </c>
      <c r="D18" s="2" t="n">
        <v/>
      </c>
      <c r="E18" s="2" t="inlineStr">
        <is>
          <t xml:space="preserve"> portion sizes</t>
        </is>
      </c>
      <c r="F18" s="2" t="inlineStr">
        <is>
          <t xml:space="preserve"> and garnishing and presentation of food to ensure that</t>
        </is>
      </c>
      <c r="G18" s="2" t="n">
        <v/>
      </c>
      <c r="H18" s="2" t="n">
        <v/>
      </c>
      <c r="I18" s="2" t="n">
        <v/>
      </c>
      <c r="J18" s="2" t="n">
        <v/>
      </c>
      <c r="K18" s="2" t="n">
        <v/>
      </c>
    </row>
    <row r="19">
      <c r="A19" s="2" t="inlineStr">
        <is>
          <t>T18</t>
        </is>
      </c>
      <c r="B19" s="2" t="inlineStr">
        <is>
          <t>General random test</t>
        </is>
      </c>
      <c r="C19" s="2" t="inlineStr">
        <is>
          <t>26456899</t>
        </is>
      </c>
      <c r="D19" s="2" t="inlineStr">
        <is>
          <t>ENGINEERING</t>
        </is>
      </c>
      <c r="E19" s="2" t="inlineStr">
        <is>
          <t xml:space="preserve">         ENGINEERING LAB TECHNICIAN       Summary    To obtain a position in my field of Electronics with a company that offers opportunities for advancement based on strong technical skills and work performance.      Skills          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              Experience      Engineering Lab Technician     Jan 2014   to   Jan 2016      Company Name   －   City  ,   State     Run software tests, physical checks and Beverage QA tests on new technology being developed.  Build test cases for new software builds.  Perform regression, functional  and smoke testing.  Use refractometers  to test brix.  Use oscilloscopes to test wave patterns in circuits.  Support different platforms with software installation, light plumbing and testing.  Trained in All Beverage Quality test tools, including Refractometer, Oscilloscope and Function Generators, Multimeters and all basic hand tools.  Run various test cases on NEW Platforms to ensure stability in units before field release.  Responsible for Mechanically troubleshooting Lab Fixtures within the Freestyle Platform.  Calibrate Alpha and Beta prototype units to perform at optimal expectation.  Work closely with software developers testing strategies in the implementation of software.  Microsoft test manager to write test cases and create bugs for software development.  Microsoft Team Foundation Server to add tasks to PBI's.  Tera Term software application to provide ssh/serial connection to Linux platform devices.  GShell software to view modify on sub machines.         Engineering Validation Test Technician     Jan 2012   to   Jan 2014      Company Name   －   City  ,   State     Test and validate new technology from automotive manufacturers.  Run environmental tests on infotainment devices.  Build various wire harnesses for testing equipment.  Operate thermotron chambers to test stability in head units.  Perform continuity tests on wiring assemblies.  Run X-axis, Y-axis and Z-axis vibration tests.  Test DVD, CD, GPS, USB, and IPOD infotainment devices for manufacturers specifications.         Electromechanical Technician     Jan 2010   to   Jan 2012      Company Name   －   City  ,   State     Build and calibrate 9500 series mercury porosimeter  instruments.  Build 2020 series chemisorption and physisorption  instruments.  Electromechanical assembly.  Assemble PC Boards.  Use hand tools to build, calibrate and test entire units to completion.  Troubleshoot components when failures occur in unit boards.  Assemble plumbing and servo valves.         Driver/Mall specialist     Jan 2001   to   Jan 2009      Company Name   －   City  ,   State     Drive and maintain a 30 ft.  pumper truck.  Interact and service customers on a daily basis.  Handled complicated machinery constantly.         Education and Training      Associate of Science Degree  ,   Computer and Electronics Engineering Technology   2013     ITT Technical Institute   －   City  ,   State     Computer and Electronics Engineering Technology       Bachelor of Science Degree  ,   Electronics and Communication Engineering Technology   September, 2013    Electronics and Communication Engineering Technology Maintained an A average every quarter since enrolling
*Obtained highest honors certificate every quarter 3.7         Publications    M.K.I. Waste Oil Systems
Steve Brawley
(C.E.O. of M.K.I. Waste oil systems)
(678)-898- 2283      Skills    Alpha, automotive, basic, C+, C++, CAD, CD, oral, DC, DVD, electronics, fiber optics, functional, GPS, hand tools, Java script, Linux, Logic, machinery, Access, Excel, Outlook, PowerPoint, Microsoft Word, Multimeters, oscilloscopes, Oscilloscope, OSi, plumbing, Quality, QA, repairing, ssh, software developers, software development, software installation, soldering, SQL, test tools, transformers, transmission, Troubleshoot, troubleshooting, USB, view, Visual Studio, wiring, written communication skills   </t>
        </is>
      </c>
      <c r="F19" s="2" t="inlineStr">
        <is>
          <t xml:space="preserve">Structural Engineering Project Manager
----------------------------------------
We are seeking an experienced Structural Engineering Project Manager to lead complex structural design projects for commercial, residential, and infrastructure developments. This senior role requires a licensed professional engineer who can manage multidisciplinary teams, coordinate with architects and contractors, ensure code compliance, and deliver innovative structural solutions on time and within budget. You will be responsible for overseeing project design from concept through construction administration, managing client relationships, mentoring engineers, and ensuring technical excellence across all deliverables. The ideal candidate will have deep structural engineering expertise, strong project management abilities, excellent client communication skills, and proven track record successfully delivering large-scale structural projects.
----------------------------------------
* Bachelor's degree in Civil or Structural Engineering required; Master's degree in Structural Engineering preferred
* Professional Engineer (PE) license required; Structural Engineer (SE) license highly preferred
* Minimum 8-12 years of progressive structural engineering experience with at least 4 years managing projects and teams
* Comprehensive knowledge of structural analysis, design principles, and engineering theory for various structural systems and materials
* Expert proficiency with structural engineering software including ETABS, SAP2000, RAM, SAFE, RISA, or similar analysis programs
* Deep understanding of building codes including IBC, ASCE 7, ACI, AISC, and other relevant design standards and specifications
* Proven experience designing complex structures such as high-rise buildings, parking structures, bridges, or specialty structures
* Strong project management skills with ability to manage budgets, schedules, and multiple concurrent projects effectively
* Excellent technical communication skills for preparing reports, specifications, and presenting to clients and stakeholders
* Experience with AutoCAD, Revit, or other CAD/BIM software for producing and reviewing structural drawings
* Strong leadership abilities with experience managing engineering teams and mentoring junior staff members
* Knowledge of sustainable design principles, LEED requirements, and high-performance building structural considerations
* Understanding of construction methods, means and methods, cost estimating, and value engineering principles
* Proven ability to work collaboratively in multidisciplinary team environments with architects, contractors, and other consultants
* Strong problem-solving skills with ability to develop creative solutions to complex structural challenges
* Professional affiliations with organizations such as ASCE, SEI, or similar professional engineering societies preferred
----------------------------------------
* Lead structural engineering projects from initial concept and proposal development through design, construction documentation, and construction administration phases
* Perform and review structural analyses and calculations for buildings, bridges, and other structures using engineering software and hand calculations
* Design structural systems including foundations, framing, lateral force-resisting systems, and connections in steel, concrete, wood, and masonry
* Coordinate with architectural, MEP, civil, and other engineering disciplines to integrate structural design with overall project requirements
* Ensure compliance with building codes, seismic requirements, wind load standards, and other regulatory requirements governing structural design
* Prepare and review construction documents including structural drawings, specifications, details, and design reports
* Manage project budgets, schedules, and resources, tracking progress against milestones and proactively addressing issues that could impact delivery
* Serve as primary client contact for structural engineering matters, attending meetings, presenting design solutions, and addressing client concerns
* Review contractor submittals, respond to RFIs, conduct site observations, and provide construction administration services throughout building process
* Mentor junior engineers and designers, reviewing their calculations and drawings, providing technical guidance, and supporting professional development
* Conduct peer reviews of structural designs to ensure quality, constructability, cost-effectiveness, and adherence to engineering standards
* Develop innovative structural solutions that optimize materials, reduce costs, enhance constructability, and meet architectural vision
* Stay current on building codes, engineering standards, new materials, construction technologies, and industry best practices
* Support business development through proposal preparation, client presentations, technical expertise, and relationship building
</t>
        </is>
      </c>
      <c r="G19" s="2" t="inlineStr">
        <is>
          <t>['structural engineering', 'project management', 'professional engineer license', 'structural engineer license', 'structural analysis', 'ETABS', 'SAP2000', 'RAM', 'SAFE', 'RISA', 'building codes', 'IBC', 'ASCE 7', 'ACI', 'AISC', 'AutoCAD', 'Revit', 'CAD', 'BIM software', 'structural design', 'construction administration', 'budget management', 'schedule management', 'technical report writing', 'sustainable design', 'LEED requirements', 'construction methods', 'cost estimating', 'value engineering', 'peer review', 'business development', 'leadership', 'client communication', 'team management', 'mentoring', 'collaboration', 'problem solving', 'technical guidance', 'relationship building', 'presentation skills']</t>
        </is>
      </c>
      <c r="H19" s="2" t="inlineStr">
        <is>
          <t>['ac/dc circuits', 'soldering', 'multisim cad', 'c+', 'c++', 'java script', 'sql', 'visual studio', 'microsoft team foundation', 'microsoft test manager', 'tera term', 'gshell', 'linux', 'programmable logic controllers', 'fiber optics', 'twisted pair', 'utp', 'shielded pair', 'coaxial', 'microsoft word', 'excel', 'powerpoint', 'access', 'outlook', 'refractometers', 'oscilloscopes', 'function generators', 'multimeters', 'mechanical troubleshooting', 'calibration', 'vibration tests', 'dvd', 'cd', 'gps', 'usb', 'ipod', 'mercury porosimeter', 'chemisorption', 'physisorption', 'pc boards', 'plumbing', 'servo valves', 'communication', 'adaptability', 'problem solving', 'teamwork', 'customer service']</t>
        </is>
      </c>
      <c r="I19" s="2" t="n">
        <v>9.199999999999999</v>
      </c>
      <c r="J19" s="2" t="n">
        <v>2.5</v>
      </c>
      <c r="K19" s="2" t="n">
        <v>47.38</v>
      </c>
    </row>
    <row r="20">
      <c r="A20" s="2" t="inlineStr">
        <is>
          <t>T19</t>
        </is>
      </c>
      <c r="B20" s="2" t="inlineStr">
        <is>
          <t>General random test</t>
        </is>
      </c>
      <c r="C20" s="2" t="inlineStr">
        <is>
          <t>26160200</t>
        </is>
      </c>
      <c r="D20" s="2" t="inlineStr">
        <is>
          <t>DIGITAL-MEDIA</t>
        </is>
      </c>
      <c r="E20" s="2" t="inlineStr">
        <is>
          <t xml:space="preserve">         VICE PRESIDENT, DIRECTOR OF CLIENT SERVICES, DIGITAL       Summary    Creative, hands-on Marketing professional with experience across industries including Consumer Packaged Goods, Human Resources, Financial Services and Information Technology. Able to communicate effectively as a liaison between creative, technical and business personnel. Demonstrated success in solving communication and technical problems through creative solutions. Recognized for streamlining processes and fostering teamwork. Expertise includes: Brand Management Copywriting Interactive Marketing Web Design Collateral Development Business Development Project Management Client Relations Special Events Planning      Highlights          Account management  Direct marketing campaigns  Mobile marketing  Superior writer and editor  Cross-functional team leadership      Customer service-oriented  Digital advertising  Project management  Go-to-market strategy development  Competitive analysis            Experience      Vice President, Director of Client Services, Digital     Oct 2005   to   Current      Company Name   －   City  ,   State    Increased revenue by [Number]% through product improvements.  Identified, developed and evaluated marketing strategies based on knowledge of company objectives and market trends.  Spearheaded the creation of blogs and social media content.  Evaluated return-on-investment and profit-loss projections.  Collaborated with marketing and communications teams on standardization, design and production of marketing materials.  Promoted brand awareness through SEO optimization and attractive web design.  Wrote creative and engaging briefs for internal and external agencies.         Account Manager     Jan 2004   to   Current      Company Name   －   City  ,   State   Facilitated multiple marketing and promotional engagements for CPG clients. Evaluated performance of online campaigns and optimized effectiveness. Formed relationships with and ensured the appropriate participation and satisfaction of key client stakeholders. Clients included Cadbury Adams, Church &amp; Dwight, Manischewitz and Johnson and Johnson. Managed aspects of a major national campaign involving radio, print, concert tours and Internet extensions for Dentyne in conjunction with Clear Channel Entertainment. Coordinated development of interactive media and print advertisements including FSIs. Established website performance benchmarks, dashboards and methodologies for usability testing and trend analysis. Supported Yahoo and AOL online campaigns which contributed to a 300% increase in traffic to the brand website. Identified and created strategic partnerships for Internet-based promotions, offline events and sweepstakes.       Account Manager       Oct 2005      Company Name   －   City  ,   State    Facilitated multiple marketing and promotional engagements for CPG  clients. Evaluated performance of online campaigns and optimized  effectiveness. Formed relationships with, and ensured the appropriate  participation and satisfaction of key client stakeholders. Clients  included Cadbury Adams, Church &amp; Dwight, Manischewitz and Johnson and  Johnson.   • Managed aspects of a major national campaign involving radio,  print, concert tours and internet extensions for Dentyne in conjunction  with Clear Channel Entertainment.  • Coordinated development of interactive media and print  advertisements including FSI's.  • Established website performance benchmarks, dashboards and  methodologies for usability testing and trend analysis.  • Supported Yahoo and AOL online campaigns which contributed to  a 300% increase in traffic to the brand website.  • Identified and created strategic partnerships for internet  based promotions, offline events and sweepstakes.        Director of Marketing / Content Manager     Jan 2001   to   Jan 2004      Company Name   －   City  ,   State    Conceived, implemented and maintained the company's web strategy. Developed targeted collateral for the sales team. Expanded brand recognition through Internet, media and mailing campaigns. Formulated effective responses to emerging competitive challenges such as customer consolidation and increasing use of web-based technologies. Researched and responded to RFPs, which established dialogue between the company and potential clients. Designed and delivered company website, copy and logo and standardized the company "look and feel" across marketing initiatives. Developed prototype web portal application as a marketing tool.        Technical Marketing Manager     Jan 1998   to   Jan 2001      Company Name   －   City  ,   State   Managed all collateral for the Financial Services business unit via the Intranet. Customized web-based solutions to support marketing initiatives. Assisted other business units in developing their information management processes. Worked with team to develop Point Of View documents central to differentiating the company in the marketplace. Built and maintained web-based reference tool using HTML, Active Server Pages, VBscript, Javascript and CSS. Reduced e-mail "spamming" and improved effectiveness of organizational communication channels through developing and implementing web-based newsletters. Coordinated strategic project initiatives across offices and teams. Modeled a process for tracking, updating and utilizing client reference-ability data.       Education      BA  ,   Communication    Rutgers University   －   City  ,   State  ,   US   BA in Communication, Rutgers University, New Brunswick, NJ, December 1997 ORGANIZATIONAL MEMBERSHIPS Founding Father of Alpha Kappa Lambda Fraternity, Rutgers University, Gamma Gamma Chapter       Accomplishments    Creative, hands-on Marketing professional with experience across industries including Consumer Packaged Goods, Human Resources, Financial Services and Information Technology. Able to communicate effectively as a liaison between creative, technical and business personnel. Demonstrated success in solving communication and technical problems through creative solutions. Recognized for streamlining processes and fostering teamwork. Expertise includes      Affiliations    Founding Father of Alpha Kappa Lambda Fraternity, Rutgers University, Gamma Gamma Chapter      Skills    Marketing, Clients, Account Manager, Increase, Interactive Media, Promotional, Satisfaction, Testing, Usability, Usability Test, Usability Testing, Web Based, Web-based, Prototype, Prototypes, Sales, Sales Team, The Sales, Web Portal, Active Server Pages, Css, Financial Services, Html, Intranet, Javascript, Organizational Communication, Solutions, Technical Marketing, Vbscript, Brand Management, Business Development, Client Relations, Copywriting, Human Resources, Liaison, Project Management, Web Design   </t>
        </is>
      </c>
      <c r="F20" s="2" t="inlineStr">
        <is>
          <t xml:space="preserve">Social Media Marketing Manager
----------------------------------------
We are seeking a creative and strategic Social Media Marketing Manager to build and execute comprehensive social media strategies that drive brand awareness, engagement, and business results. This role requires a digital-savvy professional who understands social media platforms, content creation, community management, and data analytics. You will be responsible for developing content strategies, managing social media channels, engaging with online communities, analyzing performance metrics, and staying ahead of emerging trends and platform changes. The ideal candidate will have exceptional creativity, strong analytical skills, proven experience growing social media presence, and passion for creating compelling digital content that resonates with target audiences.
----------------------------------------
* Bachelor's degree in Marketing, Communications, Digital Media, or related field
* Minimum 4-6 years of experience managing social media for brands, agencies, or organizations with demonstrated success growing online presence
* Expert knowledge of major social media platforms including Facebook, Instagram, Twitter, LinkedIn, TikTok, YouTube, and emerging platforms
* Proven experience developing and executing successful social media campaigns that achieve measurable business objectives
* Strong content creation skills including copywriting, basic graphic design, video editing, and understanding of visual storytelling principles
* Proficiency with social media management tools (Hootsuite, Sprout Social, Buffer), analytics platforms, and content creation software (Canva, Adobe Creative Suite)
* Deep understanding of social media advertising including Facebook Ads Manager, LinkedIn Campaign Manager, and other platform advertising tools
* Excellent analytical skills with ability to interpret data, identify insights, and make data-driven decisions to optimize performance
* Strong understanding of SEO, hashtag strategies, and social media algorithms to maximize organic reach and engagement
* Exceptional written and verbal communication skills with ability to adapt tone and messaging for different platforms and audiences
* Experience with community management, customer service, and crisis communications in social media environments
* Knowledge of social media trends, influencer marketing, user-generated content strategies, and emerging digital marketing practices
* Creative thinking abilities with talent for developing original content ideas and innovative campaign concepts
* Strong organizational and time management skills with ability to manage multiple social channels and campaigns simultaneously
* Understanding of brand management principles and ability to maintain consistent brand voice across all social touchpoints
* Photography and videography skills preferred for creating original visual content
----------------------------------------
* Develop and execute comprehensive social media strategy aligned with business objectives, brand guidelines, and target audience preferences across multiple platforms
* Create, curate, and manage engaging content including posts, stories, videos, graphics, and interactive content optimized for each social media platform
* Manage social media content calendar, planning and scheduling posts to maintain consistent brand presence and maximize engagement
* Build and nurture online communities by responding to comments, messages, and mentions in timely, authentic, and brand-appropriate manner
* Develop and implement social media advertising campaigns including audience targeting, creative development, budget management, and performance optimization
* Monitor social media conversations, track brand mentions, and manage online reputation by addressing customer feedback and potential issues proactively
* Analyze social media metrics including reach, engagement, follower growth, conversion rates, and ROI, providing regular reporting and actionable insights
* Collaborate with creative, marketing, and content teams to develop integrated campaigns that align social media with broader marketing initiatives
* Identify and engage with influencers, brand ambassadors, and strategic partners to expand reach and enhance brand credibility
* Stay current on social media trends, platform updates, algorithm changes, emerging features, and competitive social media activities
* Conduct social listening and audience research to understand customer preferences, pain points, and conversations relevant to brand positioning
* Develop and maintain social media guidelines, best practices, and crisis communication protocols for organization
* Manage social media tools and technologies including scheduling platforms, analytics tools, social listening software, and design applications
* Test and optimize content strategies through A/B testing, analyzing performance data, and continuously refining approach based on results
</t>
        </is>
      </c>
      <c r="G20" s="2" t="inlineStr">
        <is>
          <t>['social media platforms', 'content creation', 'social media management tools', 'data analytics', 'social media advertising', 'copywriting', 'graphic design', 'video editing', 'SEO', 'hashtag strategies', 'social media algorithms', 'community management', 'influencer marketing', 'user-generated content strategies', 'social listening', 'A/B testing', 'brand management', 'photography', 'videography', 'social media advertising tools', 'content calendar management', 'creativity', 'analytical skills', 'communication', 'strategic thinking', 'time management', 'organizational skills', 'adaptability', 'collaboration', 'customer service', 'problem solving', 'attention to detail']</t>
        </is>
      </c>
      <c r="H20" s="2" t="inlineStr">
        <is>
          <t>['brand management', 'copywriting', 'interactive marketing', 'web design', 'collateral development', 'business development', 'project management', 'client relations', 'direct marketing', 'mobile marketing', 'digital advertising', 'seo optimization', 'html', 'css', 'vbscript', 'javascript', 'active server pages', 'usability testing', 'market analysis', 'competitive analysis', 'content management', 'social media marketing', 'performance metrics', 'email marketing', 'promotional campaigns', 'communication', 'teamwork', 'problem solving', 'creativity', 'customer service orientation', 'cross-functional leadership', 'strategic thinking', 'relationship building', 'process improvement', 'analytical thinking']</t>
        </is>
      </c>
      <c r="I20" s="2" t="n">
        <v>55.8</v>
      </c>
      <c r="J20" s="2" t="n">
        <v>18.75</v>
      </c>
      <c r="K20" s="2" t="n">
        <v>64.73999999999999</v>
      </c>
    </row>
    <row r="21">
      <c r="A21" s="2" t="inlineStr">
        <is>
          <t>T20</t>
        </is>
      </c>
      <c r="B21" s="2" t="inlineStr">
        <is>
          <t>General random test</t>
        </is>
      </c>
      <c r="C21" s="2" t="inlineStr">
        <is>
          <t>42304307</t>
        </is>
      </c>
      <c r="D21" s="2" t="inlineStr">
        <is>
          <t>SALES</t>
        </is>
      </c>
      <c r="E21" s="2" t="inlineStr">
        <is>
          <t xml:space="preserve">         SALES ASSOCIATE         Summary      Reliable and friendly worker who quickly learns and masters new concepts and skills. Passionate about helping customers and creating a satisfying shopping experience.   Highly energetic, outgoing and detail-oriented. Handles multiple responsibilities simultaneously while providing exceptional customer service.     High-achieving Sales Associate offering an extensive background in customer service, sales, client relations and merchandising. Self-directed and self-motivated team player who also works well independently.           Highlights          Cash handling accuracy  Organized  Time management  Detail-oriented      Excellent multi-tasker  Strong communication skills  Proficient in MS Office  Flexible schedule            Accomplishments      2014-15 ASU Scholastic Award  2010-2014 Westview High School Honor Roll  Proficient in Microsoft Office (Word, Excel, PowerPoint), Valid Driver's License, Food Handler's Card        Experience      Company Name     June 2015   to   Current     Sales Associate   City  ,   State       • Ensure great customer service by assisting in location, availability and selection of merchandise     • Maintain store selling floor, fitting rooms, visual displays, presentation and conditions    • Assist in daily store recovery, before, during or after store opening hours    • Promote current sales and promotions to customers, including pricing of merchandise    • Adhere to company policies, procedures, and loss prevention practices    • Complete sales transactions and maintain proper accountability at registers    • Process merchandise returns and exchanges courteously and under company guidelines    • Support all management, leads and sales team at all times          Company Name     December 2014   to   February 2015     Sandwich Artist   City  ,   State      Provided friendly customer service while doing multiple tasks in a busy and fast-paced environment  Prepared prep and sandwiches  Daily cleaning  Exhibits a cheerful and helpful manner while greeting guests and preparing their orders.  Demonstrates a complete understanding of menu items and explains them to guests accurately.  Uses Point of Sale system/cash register to record the order and compute the amount of the bill.   Collects payment from guests and makes change.  Performs Cash-In Procedure- accounting for all forms of money, bread, etc., during the shift.  Prepares food neatly, according to formula, and in a timely manner.  Checks products in sandwich unit area and restocks items to ensure a sufficient supply throughout the shift.  Understands and adheres to proper food handling, safety and sanitation standards during food preparation, service and clean up.  Cleans and maintains all areas of the restaurant to promote a clean image.   Understands and adheres to the 3-step method for cleaning.  Understands and adheres to all quality standards, formulas and procedures as outlined in the SUBWAY� Operations Manual.  Maintains a professional appearance and grooming standards as outlined in the SUBWAY� Operations Manual.  Performs light paperwork duties as assigned.  Completes University of SUBWAY�courses as directed          Company Name     October 2013   to   September 2014     Cashier/Sales Associate   City  ,   State         Folded, straightened, and sorted clothes in Juniors department  Rung up customers and bagged purchases    Smiles and Says Hi!”  Greets all customers and Associates encountered with a smile and encourages others to smile and say hi.    Assists customers in a friendly, courteous manner.  Adheres to the “Yes We Can” policy and efficiently resolves customer's questions and requests.    Supports fellow Associates through Yes We Can actions and behaviors.    Promptly responds to call box/phone pages.Consistently uses the 5 step GREAT program while interacting with customers: Greets Customer, Requests Credit, Explains Email, Asks to complete the Survey and Thanks the Customer.  Solicits, opens and activates Kohl's Charge applications in accordance with Company standards.   Solicits e-mail addresses from customers.    Responds appropriately to POS backup calls and Service Desk calls.   Assists at POS and Customer Service as needed and complies with the Company's “2 in-a-line” standard.  Properly holds merchandise for customers when needed, including returning merchandise not picked up to the sales floor.    Processes rainchecks within Company standards.           Company Name     October 2012   to   September 2014     Sandwich Artist   City  ,   State      Provided friendly customer service while doing multiple tasks in a busy and fast-paced environment  Prepared prep and sandwiches  Daily cleaning  Exhibits a cheerful and helpful manner while greeting guests and preparing their orders.  Demonstrates a complete understanding of menu items and explains them to guests accurately.  Uses Point of Sale system/cash register to record the order and compute the amount of the bill.  Collects payment from guests and makes change.  Performs Cash-In Procedure- accounting for all forms of money, bread, etc., during the shift.    Prepares food neatly, according to formula, and in a timely manner.    Checks products in sandwich unit area and restocks items to ensure a sufficient supply throughout the shift.    Understands and adheres to proper food handling, safety and sanitation standards during food preparation, service and clean up.    Cleans and maintains all areas of the restaurant to promote a clean image.    Understands and adheres to the 3-step method for cleaning.    Understands and adheres to all quality standards, formulas and procedures as outlined in the SUBWAY� Operations Manual.    Maintains a professional appearance and grooming standards as outlined in the SUBWAY� Operations Manual.    Performs light paperwork duties as assigned.    Completes University of SUBWAY�courses as directed           Education      Arizona State University     2018       Bachelor of Arts  :   African American Studies    City  ,   State  ,   United States    08/14-present Arizona State University        Skills    Customer Service, Retail Sales Associate, Cashier,MS Excel,Office, Powerpoint, Word   </t>
        </is>
      </c>
      <c r="F21" s="2" t="inlineStr">
        <is>
          <t xml:space="preserve">Enterprise Sales Executive
----------------------------------------
We are seeking a driven and strategic Enterprise Sales Executive to acquire new business clients and drive significant revenue growth through consultative selling and relationship building. This high-impact role requires a sales professional who can navigate complex organizational structures, engage C-level decision-makers, and close high-value deals with Fortune 500 companies and large enterprises. You will be responsible for managing the entire sales cycle from prospecting and qualification through negotiation and contract execution, while consistently exceeding quota and building long-term strategic partnerships. The ideal candidate will have exceptional business acumen, proven success in enterprise sales, strong presentation skills, and ability to sell complex solutions that deliver measurable business value.
----------------------------------------
* Bachelor's degree in Business, Marketing, or related field; MBA preferred
* Minimum 7-10 years of enterprise B2B sales experience with consistent track record of exceeding quotas and closing deals exceeding $500K annually
* Proven success selling complex solutions or services to Fortune 500 companies and large enterprise organizations
* Deep understanding of enterprise sales methodologies including MEDDIC, SPIN Selling, Challenger Sale, or similar consultative approaches
* Experience navigating complex organizational structures and building relationships with C-level executives and senior decision-makers
* Exceptional presentation and communication skills with ability to present to large audiences and facilitate executive-level discussions
* Strong business acumen with understanding of corporate finance, operations, and strategic planning to position solutions effectively
* Ability to understand technical concepts and translate them into business value propositions for non-technical audiences
* Expert negotiation skills with experience structuring and closing complex, multi-million dollar contracts
* Proficiency with CRM platforms (Salesforce preferred), sales engagement tools, and business intelligence applications
* Strong relationship-building abilities with talent for establishing trust, credibility, and long-term partnerships with clients
* Self-motivated and results-oriented with entrepreneurial mindset and ability to work independently with minimal supervision
* Excellent time management and organizational skills with ability to manage multiple complex opportunities simultaneously
* Industry-specific knowledge in relevant sectors such as technology, healthcare, financial services, or manufacturing preferred
* Willingness to travel extensively (40-60%) to meet with clients, attend conferences, and support sales activities
* Resilience and persistence to navigate long sales cycles, overcome objections, and maintain momentum through challenges
----------------------------------------
* Identify, prospect, and qualify enterprise-level opportunities through strategic outreach, networking, referrals, and targeted account-based marketing campaigns
* Develop and execute comprehensive account plans for target enterprises, mapping organizational structures, identifying key stakeholders, and building champion relationships
* Conduct in-depth discovery sessions to understand client business challenges, objectives, technical requirements, and decision-making processes
* Deliver compelling product demonstrations and presentations to executive audiences, articulating value proposition and ROI in business terms aligned with client priorities
* Lead complex, multi-stakeholder sales cycles involving procurement teams, technical evaluators, legal departments, and executive decision-makers
* Collaborate with solutions engineering, product specialists, and technical teams to develop customized proposals that address specific client needs and requirements
* Negotiate pricing, contract terms, and service level agreements for multi-million dollar deals, balancing client needs with company profitability objectives
* Build and maintain executive-level relationships with key accounts, serving as trusted advisor and strategic partner throughout customer lifecycle
* Coordinate internal resources including pre-sales, implementation, customer success, and executive teams to support complex sales processes and ensure customer satisfaction
* Maintain accurate and up-to-date sales pipeline in CRM system, providing reliable forecasting and regular updates on deal progression and risks
* Achieve and exceed quarterly and annual sales quotas, consistently ranking among top performers in sales organization
* Stay informed about industry trends, competitive landscape, client business challenges, and market dynamics affecting target accounts
* Participate in industry conferences, trade shows, executive briefings, and networking events to generate leads and enhance market presence
* Provide market feedback to product and marketing teams regarding customer needs, competitive positioning, and opportunities for product enhancement
</t>
        </is>
      </c>
      <c r="G21" s="2" t="inlineStr">
        <is>
          <t>['enterprise sales', 'B2B sales', 'consultative selling', 'sales cycle management', 'negotiation', 'CRM (Salesforce)', 'sales methodologies', 'account-based marketing', 'presentation skills', 'business acumen', 'contract management', 'technical knowledge translation', 'forecasting', 'market analysis', 'industry knowledge', 'relationship building', 'communication', 'strategic thinking', 'self-motivation', 'time management', 'resilience', 'persistence', 'entrepreneurial mindset', 'team collaboration']</t>
        </is>
      </c>
      <c r="H21" s="2" t="inlineStr">
        <is>
          <t>['cash handling', 'ms office', 'microsoft excel', 'microsoft powerpoint', 'microsoft word', 'point of sale system', 'food handling', 'sanitation standards', 'merchandising', 'sales transactions', 'customer service', 'reliable', 'friendly', 'energetic', 'outgoing', 'detail-oriented', 'multi-tasker', 'strong communication', 'organized', 'time management', 'self-directed', 'self-motivated', 'team player', 'flexible']</t>
        </is>
      </c>
      <c r="I21" s="2" t="n">
        <v>11.85</v>
      </c>
      <c r="J21" s="2" t="n">
        <v>4.17</v>
      </c>
      <c r="K21" s="2" t="n">
        <v>51.16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9" customWidth="1" min="1" max="1"/>
    <col width="29" customWidth="1" min="2" max="2"/>
    <col width="17" customWidth="1" min="3" max="3"/>
    <col width="13" customWidth="1" min="4" max="4"/>
    <col width="18" customWidth="1" min="5" max="5"/>
    <col width="25" customWidth="1" min="6" max="6"/>
    <col width="25" customWidth="1" min="7" max="7"/>
    <col width="10" customWidth="1" min="8" max="8"/>
    <col width="17" customWidth="1" min="9" max="9"/>
  </cols>
  <sheetData>
    <row r="1">
      <c r="A1" s="1" t="inlineStr">
        <is>
          <t>Test ID</t>
        </is>
      </c>
      <c r="B1" s="1" t="inlineStr">
        <is>
          <t>Information Preservation /5</t>
        </is>
      </c>
      <c r="C1" s="1" t="inlineStr">
        <is>
          <t>Completeness /5</t>
        </is>
      </c>
      <c r="D1" s="1" t="inlineStr">
        <is>
          <t>Accuracy /5</t>
        </is>
      </c>
      <c r="E1" s="1" t="inlineStr">
        <is>
          <t>Job Relevance /5</t>
        </is>
      </c>
      <c r="F1" s="1" t="inlineStr">
        <is>
          <t>Professional Quality /5</t>
        </is>
      </c>
      <c r="G1" s="1" t="inlineStr">
        <is>
          <t>Hallucination Detected?</t>
        </is>
      </c>
      <c r="H1" s="1" t="inlineStr">
        <is>
          <t>Comments</t>
        </is>
      </c>
      <c r="I1" s="1" t="inlineStr">
        <is>
          <t>Total Score /25</t>
        </is>
      </c>
    </row>
    <row r="2">
      <c r="A2" s="2" t="inlineStr">
        <is>
          <t>T01</t>
        </is>
      </c>
      <c r="B2" s="2" t="inlineStr"/>
      <c r="C2" s="2" t="inlineStr"/>
      <c r="D2" s="2" t="inlineStr"/>
      <c r="E2" s="2" t="inlineStr"/>
      <c r="F2" s="2" t="inlineStr"/>
      <c r="G2" s="2" t="inlineStr"/>
      <c r="H2" s="2" t="inlineStr"/>
      <c r="I2" s="2">
        <f>SUM(B2:F2)</f>
        <v/>
      </c>
    </row>
    <row r="3">
      <c r="A3" s="2" t="inlineStr">
        <is>
          <t>T02</t>
        </is>
      </c>
      <c r="B3" s="2" t="inlineStr"/>
      <c r="C3" s="2" t="inlineStr"/>
      <c r="D3" s="2" t="inlineStr"/>
      <c r="E3" s="2" t="inlineStr"/>
      <c r="F3" s="2" t="inlineStr"/>
      <c r="G3" s="2" t="inlineStr"/>
      <c r="H3" s="2" t="inlineStr"/>
      <c r="I3" s="2">
        <f>SUM(B3:F3)</f>
        <v/>
      </c>
    </row>
    <row r="4">
      <c r="A4" s="2" t="inlineStr">
        <is>
          <t>T03</t>
        </is>
      </c>
      <c r="B4" s="2" t="inlineStr"/>
      <c r="C4" s="2" t="inlineStr"/>
      <c r="D4" s="2" t="inlineStr"/>
      <c r="E4" s="2" t="inlineStr"/>
      <c r="F4" s="2" t="inlineStr"/>
      <c r="G4" s="2" t="inlineStr"/>
      <c r="H4" s="2" t="inlineStr"/>
      <c r="I4" s="2">
        <f>SUM(B4:F4)</f>
        <v/>
      </c>
    </row>
    <row r="5">
      <c r="A5" s="2" t="inlineStr">
        <is>
          <t>T04</t>
        </is>
      </c>
      <c r="B5" s="2" t="inlineStr"/>
      <c r="C5" s="2" t="inlineStr"/>
      <c r="D5" s="2" t="inlineStr"/>
      <c r="E5" s="2" t="inlineStr"/>
      <c r="F5" s="2" t="inlineStr"/>
      <c r="G5" s="2" t="inlineStr"/>
      <c r="H5" s="2" t="inlineStr"/>
      <c r="I5" s="2">
        <f>SUM(B5:F5)</f>
        <v/>
      </c>
    </row>
    <row r="6">
      <c r="A6" s="2" t="inlineStr">
        <is>
          <t>T05</t>
        </is>
      </c>
      <c r="B6" s="2" t="inlineStr"/>
      <c r="C6" s="2" t="inlineStr"/>
      <c r="D6" s="2" t="inlineStr"/>
      <c r="E6" s="2" t="inlineStr"/>
      <c r="F6" s="2" t="inlineStr"/>
      <c r="G6" s="2" t="inlineStr"/>
      <c r="H6" s="2" t="inlineStr"/>
      <c r="I6" s="2">
        <f>SUM(B6:F6)</f>
        <v/>
      </c>
    </row>
    <row r="7">
      <c r="A7" s="2" t="inlineStr">
        <is>
          <t>T06</t>
        </is>
      </c>
      <c r="B7" s="2" t="inlineStr"/>
      <c r="C7" s="2" t="inlineStr"/>
      <c r="D7" s="2" t="inlineStr"/>
      <c r="E7" s="2" t="inlineStr"/>
      <c r="F7" s="2" t="inlineStr"/>
      <c r="G7" s="2" t="inlineStr"/>
      <c r="H7" s="2" t="inlineStr"/>
      <c r="I7" s="2">
        <f>SUM(B7:F7)</f>
        <v/>
      </c>
    </row>
    <row r="8">
      <c r="A8" s="2" t="inlineStr">
        <is>
          <t>T07</t>
        </is>
      </c>
      <c r="B8" s="2" t="inlineStr"/>
      <c r="C8" s="2" t="inlineStr"/>
      <c r="D8" s="2" t="inlineStr"/>
      <c r="E8" s="2" t="inlineStr"/>
      <c r="F8" s="2" t="inlineStr"/>
      <c r="G8" s="2" t="inlineStr"/>
      <c r="H8" s="2" t="inlineStr"/>
      <c r="I8" s="2">
        <f>SUM(B8:F8)</f>
        <v/>
      </c>
    </row>
    <row r="9">
      <c r="A9" s="2" t="inlineStr">
        <is>
          <t>T08</t>
        </is>
      </c>
      <c r="B9" s="2" t="inlineStr"/>
      <c r="C9" s="2" t="inlineStr"/>
      <c r="D9" s="2" t="inlineStr"/>
      <c r="E9" s="2" t="inlineStr"/>
      <c r="F9" s="2" t="inlineStr"/>
      <c r="G9" s="2" t="inlineStr"/>
      <c r="H9" s="2" t="inlineStr"/>
      <c r="I9" s="2">
        <f>SUM(B9:F9)</f>
        <v/>
      </c>
    </row>
    <row r="10">
      <c r="A10" s="2" t="inlineStr">
        <is>
          <t>T09</t>
        </is>
      </c>
      <c r="B10" s="2" t="inlineStr"/>
      <c r="C10" s="2" t="inlineStr"/>
      <c r="D10" s="2" t="inlineStr"/>
      <c r="E10" s="2" t="inlineStr"/>
      <c r="F10" s="2" t="inlineStr"/>
      <c r="G10" s="2" t="inlineStr"/>
      <c r="H10" s="2" t="inlineStr"/>
      <c r="I10" s="2">
        <f>SUM(B10:F10)</f>
        <v/>
      </c>
    </row>
    <row r="11">
      <c r="A11" s="2" t="inlineStr">
        <is>
          <t>T10</t>
        </is>
      </c>
      <c r="B11" s="2" t="inlineStr"/>
      <c r="C11" s="2" t="inlineStr"/>
      <c r="D11" s="2" t="inlineStr"/>
      <c r="E11" s="2" t="inlineStr"/>
      <c r="F11" s="2" t="inlineStr"/>
      <c r="G11" s="2" t="inlineStr"/>
      <c r="H11" s="2" t="inlineStr"/>
      <c r="I11" s="2">
        <f>SUM(B11:F11)</f>
        <v/>
      </c>
    </row>
    <row r="12">
      <c r="A12" s="2" t="inlineStr">
        <is>
          <t>T11</t>
        </is>
      </c>
      <c r="B12" s="2" t="inlineStr"/>
      <c r="C12" s="2" t="inlineStr"/>
      <c r="D12" s="2" t="inlineStr"/>
      <c r="E12" s="2" t="inlineStr"/>
      <c r="F12" s="2" t="inlineStr"/>
      <c r="G12" s="2" t="inlineStr"/>
      <c r="H12" s="2" t="inlineStr"/>
      <c r="I12" s="2">
        <f>SUM(B12:F12)</f>
        <v/>
      </c>
    </row>
    <row r="13">
      <c r="A13" s="2" t="inlineStr">
        <is>
          <t>T12</t>
        </is>
      </c>
      <c r="B13" s="2" t="inlineStr"/>
      <c r="C13" s="2" t="inlineStr"/>
      <c r="D13" s="2" t="inlineStr"/>
      <c r="E13" s="2" t="inlineStr"/>
      <c r="F13" s="2" t="inlineStr"/>
      <c r="G13" s="2" t="inlineStr"/>
      <c r="H13" s="2" t="inlineStr"/>
      <c r="I13" s="2">
        <f>SUM(B13:F13)</f>
        <v/>
      </c>
    </row>
    <row r="14">
      <c r="A14" s="2" t="inlineStr">
        <is>
          <t>T13</t>
        </is>
      </c>
      <c r="B14" s="2" t="inlineStr"/>
      <c r="C14" s="2" t="inlineStr"/>
      <c r="D14" s="2" t="inlineStr"/>
      <c r="E14" s="2" t="inlineStr"/>
      <c r="F14" s="2" t="inlineStr"/>
      <c r="G14" s="2" t="inlineStr"/>
      <c r="H14" s="2" t="inlineStr"/>
      <c r="I14" s="2">
        <f>SUM(B14:F14)</f>
        <v/>
      </c>
    </row>
    <row r="15">
      <c r="A15" s="2" t="inlineStr">
        <is>
          <t>T14</t>
        </is>
      </c>
      <c r="B15" s="2" t="inlineStr"/>
      <c r="C15" s="2" t="inlineStr"/>
      <c r="D15" s="2" t="inlineStr"/>
      <c r="E15" s="2" t="inlineStr"/>
      <c r="F15" s="2" t="inlineStr"/>
      <c r="G15" s="2" t="inlineStr"/>
      <c r="H15" s="2" t="inlineStr"/>
      <c r="I15" s="2">
        <f>SUM(B15:F15)</f>
        <v/>
      </c>
    </row>
    <row r="16">
      <c r="A16" s="2" t="inlineStr">
        <is>
          <t>T15</t>
        </is>
      </c>
      <c r="B16" s="2" t="inlineStr"/>
      <c r="C16" s="2" t="inlineStr"/>
      <c r="D16" s="2" t="inlineStr"/>
      <c r="E16" s="2" t="inlineStr"/>
      <c r="F16" s="2" t="inlineStr"/>
      <c r="G16" s="2" t="inlineStr"/>
      <c r="H16" s="2" t="inlineStr"/>
      <c r="I16" s="2">
        <f>SUM(B16:F16)</f>
        <v/>
      </c>
    </row>
    <row r="17">
      <c r="A17" s="2" t="inlineStr">
        <is>
          <t>T16</t>
        </is>
      </c>
      <c r="B17" s="2" t="inlineStr"/>
      <c r="C17" s="2" t="inlineStr"/>
      <c r="D17" s="2" t="inlineStr"/>
      <c r="E17" s="2" t="inlineStr"/>
      <c r="F17" s="2" t="inlineStr"/>
      <c r="G17" s="2" t="inlineStr"/>
      <c r="H17" s="2" t="inlineStr"/>
      <c r="I17" s="2">
        <f>SUM(B17:F17)</f>
        <v/>
      </c>
    </row>
    <row r="18">
      <c r="A18" s="2" t="inlineStr">
        <is>
          <t>T17</t>
        </is>
      </c>
      <c r="B18" s="2" t="inlineStr"/>
      <c r="C18" s="2" t="inlineStr"/>
      <c r="D18" s="2" t="inlineStr"/>
      <c r="E18" s="2" t="inlineStr"/>
      <c r="F18" s="2" t="inlineStr"/>
      <c r="G18" s="2" t="inlineStr"/>
      <c r="H18" s="2" t="inlineStr"/>
      <c r="I18" s="2">
        <f>SUM(B18:F18)</f>
        <v/>
      </c>
    </row>
    <row r="19">
      <c r="A19" s="2" t="inlineStr">
        <is>
          <t>T18</t>
        </is>
      </c>
      <c r="B19" s="2" t="inlineStr"/>
      <c r="C19" s="2" t="inlineStr"/>
      <c r="D19" s="2" t="inlineStr"/>
      <c r="E19" s="2" t="inlineStr"/>
      <c r="F19" s="2" t="inlineStr"/>
      <c r="G19" s="2" t="inlineStr"/>
      <c r="H19" s="2" t="inlineStr"/>
      <c r="I19" s="2">
        <f>SUM(B19:F19)</f>
        <v/>
      </c>
    </row>
    <row r="20">
      <c r="A20" s="2" t="inlineStr">
        <is>
          <t>T19</t>
        </is>
      </c>
      <c r="B20" s="2" t="inlineStr"/>
      <c r="C20" s="2" t="inlineStr"/>
      <c r="D20" s="2" t="inlineStr"/>
      <c r="E20" s="2" t="inlineStr"/>
      <c r="F20" s="2" t="inlineStr"/>
      <c r="G20" s="2" t="inlineStr"/>
      <c r="H20" s="2" t="inlineStr"/>
      <c r="I20" s="2">
        <f>SUM(B20:F20)</f>
        <v/>
      </c>
    </row>
    <row r="21">
      <c r="A21" s="2" t="inlineStr">
        <is>
          <t>T20</t>
        </is>
      </c>
      <c r="B21" s="2" t="inlineStr"/>
      <c r="C21" s="2" t="inlineStr"/>
      <c r="D21" s="2" t="inlineStr"/>
      <c r="E21" s="2" t="inlineStr"/>
      <c r="F21" s="2" t="inlineStr"/>
      <c r="G21" s="2" t="inlineStr"/>
      <c r="H21" s="2" t="inlineStr"/>
      <c r="I21" s="2">
        <f>SUM(B21:F21)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9" customWidth="1" min="1" max="1"/>
    <col width="20" customWidth="1" min="2" max="2"/>
    <col width="18" customWidth="1" min="3" max="3"/>
    <col width="13" customWidth="1" min="4" max="4"/>
    <col width="22" customWidth="1" min="5" max="5"/>
    <col width="17" customWidth="1" min="6" max="6"/>
    <col width="25" customWidth="1" min="7" max="7"/>
    <col width="10" customWidth="1" min="8" max="8"/>
    <col width="17" customWidth="1" min="9" max="9"/>
  </cols>
  <sheetData>
    <row r="1">
      <c r="A1" s="1" t="inlineStr">
        <is>
          <t>Test ID</t>
        </is>
      </c>
      <c r="B1" s="1" t="inlineStr">
        <is>
          <t>Personalization /5</t>
        </is>
      </c>
      <c r="C1" s="1" t="inlineStr">
        <is>
          <t>Job Relevance /5</t>
        </is>
      </c>
      <c r="D1" s="1" t="inlineStr">
        <is>
          <t>Accuracy /5</t>
        </is>
      </c>
      <c r="E1" s="1" t="inlineStr">
        <is>
          <t>Professional Tone /5</t>
        </is>
      </c>
      <c r="F1" s="1" t="inlineStr">
        <is>
          <t>Completeness /5</t>
        </is>
      </c>
      <c r="G1" s="1" t="inlineStr">
        <is>
          <t>Hallucination Detected?</t>
        </is>
      </c>
      <c r="H1" s="1" t="inlineStr">
        <is>
          <t>Comments</t>
        </is>
      </c>
      <c r="I1" s="1" t="inlineStr">
        <is>
          <t>Total Score /25</t>
        </is>
      </c>
    </row>
    <row r="2">
      <c r="A2" s="2" t="inlineStr">
        <is>
          <t>T01</t>
        </is>
      </c>
      <c r="B2" s="2" t="inlineStr"/>
      <c r="C2" s="2" t="inlineStr"/>
      <c r="D2" s="2" t="inlineStr"/>
      <c r="E2" s="2" t="inlineStr"/>
      <c r="F2" s="2" t="inlineStr"/>
      <c r="G2" s="2" t="inlineStr"/>
      <c r="H2" s="2" t="inlineStr"/>
      <c r="I2" s="2">
        <f>SUM(B2:F2)</f>
        <v/>
      </c>
    </row>
    <row r="3">
      <c r="A3" s="2" t="inlineStr">
        <is>
          <t>T02</t>
        </is>
      </c>
      <c r="B3" s="2" t="inlineStr"/>
      <c r="C3" s="2" t="inlineStr"/>
      <c r="D3" s="2" t="inlineStr"/>
      <c r="E3" s="2" t="inlineStr"/>
      <c r="F3" s="2" t="inlineStr"/>
      <c r="G3" s="2" t="inlineStr"/>
      <c r="H3" s="2" t="inlineStr"/>
      <c r="I3" s="2">
        <f>SUM(B3:F3)</f>
        <v/>
      </c>
    </row>
    <row r="4">
      <c r="A4" s="2" t="inlineStr">
        <is>
          <t>T03</t>
        </is>
      </c>
      <c r="B4" s="2" t="inlineStr"/>
      <c r="C4" s="2" t="inlineStr"/>
      <c r="D4" s="2" t="inlineStr"/>
      <c r="E4" s="2" t="inlineStr"/>
      <c r="F4" s="2" t="inlineStr"/>
      <c r="G4" s="2" t="inlineStr"/>
      <c r="H4" s="2" t="inlineStr"/>
      <c r="I4" s="2">
        <f>SUM(B4:F4)</f>
        <v/>
      </c>
    </row>
    <row r="5">
      <c r="A5" s="2" t="inlineStr">
        <is>
          <t>T04</t>
        </is>
      </c>
      <c r="B5" s="2" t="inlineStr"/>
      <c r="C5" s="2" t="inlineStr"/>
      <c r="D5" s="2" t="inlineStr"/>
      <c r="E5" s="2" t="inlineStr"/>
      <c r="F5" s="2" t="inlineStr"/>
      <c r="G5" s="2" t="inlineStr"/>
      <c r="H5" s="2" t="inlineStr"/>
      <c r="I5" s="2">
        <f>SUM(B5:F5)</f>
        <v/>
      </c>
    </row>
    <row r="6">
      <c r="A6" s="2" t="inlineStr">
        <is>
          <t>T05</t>
        </is>
      </c>
      <c r="B6" s="2" t="inlineStr"/>
      <c r="C6" s="2" t="inlineStr"/>
      <c r="D6" s="2" t="inlineStr"/>
      <c r="E6" s="2" t="inlineStr"/>
      <c r="F6" s="2" t="inlineStr"/>
      <c r="G6" s="2" t="inlineStr"/>
      <c r="H6" s="2" t="inlineStr"/>
      <c r="I6" s="2">
        <f>SUM(B6:F6)</f>
        <v/>
      </c>
    </row>
    <row r="7">
      <c r="A7" s="2" t="inlineStr">
        <is>
          <t>T06</t>
        </is>
      </c>
      <c r="B7" s="2" t="inlineStr"/>
      <c r="C7" s="2" t="inlineStr"/>
      <c r="D7" s="2" t="inlineStr"/>
      <c r="E7" s="2" t="inlineStr"/>
      <c r="F7" s="2" t="inlineStr"/>
      <c r="G7" s="2" t="inlineStr"/>
      <c r="H7" s="2" t="inlineStr"/>
      <c r="I7" s="2">
        <f>SUM(B7:F7)</f>
        <v/>
      </c>
    </row>
    <row r="8">
      <c r="A8" s="2" t="inlineStr">
        <is>
          <t>T07</t>
        </is>
      </c>
      <c r="B8" s="2" t="inlineStr"/>
      <c r="C8" s="2" t="inlineStr"/>
      <c r="D8" s="2" t="inlineStr"/>
      <c r="E8" s="2" t="inlineStr"/>
      <c r="F8" s="2" t="inlineStr"/>
      <c r="G8" s="2" t="inlineStr"/>
      <c r="H8" s="2" t="inlineStr"/>
      <c r="I8" s="2">
        <f>SUM(B8:F8)</f>
        <v/>
      </c>
    </row>
    <row r="9">
      <c r="A9" s="2" t="inlineStr">
        <is>
          <t>T08</t>
        </is>
      </c>
      <c r="B9" s="2" t="inlineStr"/>
      <c r="C9" s="2" t="inlineStr"/>
      <c r="D9" s="2" t="inlineStr"/>
      <c r="E9" s="2" t="inlineStr"/>
      <c r="F9" s="2" t="inlineStr"/>
      <c r="G9" s="2" t="inlineStr"/>
      <c r="H9" s="2" t="inlineStr"/>
      <c r="I9" s="2">
        <f>SUM(B9:F9)</f>
        <v/>
      </c>
    </row>
    <row r="10">
      <c r="A10" s="2" t="inlineStr">
        <is>
          <t>T09</t>
        </is>
      </c>
      <c r="B10" s="2" t="inlineStr"/>
      <c r="C10" s="2" t="inlineStr"/>
      <c r="D10" s="2" t="inlineStr"/>
      <c r="E10" s="2" t="inlineStr"/>
      <c r="F10" s="2" t="inlineStr"/>
      <c r="G10" s="2" t="inlineStr"/>
      <c r="H10" s="2" t="inlineStr"/>
      <c r="I10" s="2">
        <f>SUM(B10:F10)</f>
        <v/>
      </c>
    </row>
    <row r="11">
      <c r="A11" s="2" t="inlineStr">
        <is>
          <t>T10</t>
        </is>
      </c>
      <c r="B11" s="2" t="inlineStr"/>
      <c r="C11" s="2" t="inlineStr"/>
      <c r="D11" s="2" t="inlineStr"/>
      <c r="E11" s="2" t="inlineStr"/>
      <c r="F11" s="2" t="inlineStr"/>
      <c r="G11" s="2" t="inlineStr"/>
      <c r="H11" s="2" t="inlineStr"/>
      <c r="I11" s="2">
        <f>SUM(B11:F11)</f>
        <v/>
      </c>
    </row>
    <row r="12">
      <c r="A12" s="2" t="inlineStr">
        <is>
          <t>T11</t>
        </is>
      </c>
      <c r="B12" s="2" t="inlineStr"/>
      <c r="C12" s="2" t="inlineStr"/>
      <c r="D12" s="2" t="inlineStr"/>
      <c r="E12" s="2" t="inlineStr"/>
      <c r="F12" s="2" t="inlineStr"/>
      <c r="G12" s="2" t="inlineStr"/>
      <c r="H12" s="2" t="inlineStr"/>
      <c r="I12" s="2">
        <f>SUM(B12:F12)</f>
        <v/>
      </c>
    </row>
    <row r="13">
      <c r="A13" s="2" t="inlineStr">
        <is>
          <t>T12</t>
        </is>
      </c>
      <c r="B13" s="2" t="inlineStr"/>
      <c r="C13" s="2" t="inlineStr"/>
      <c r="D13" s="2" t="inlineStr"/>
      <c r="E13" s="2" t="inlineStr"/>
      <c r="F13" s="2" t="inlineStr"/>
      <c r="G13" s="2" t="inlineStr"/>
      <c r="H13" s="2" t="inlineStr"/>
      <c r="I13" s="2">
        <f>SUM(B13:F13)</f>
        <v/>
      </c>
    </row>
    <row r="14">
      <c r="A14" s="2" t="inlineStr">
        <is>
          <t>T13</t>
        </is>
      </c>
      <c r="B14" s="2" t="inlineStr"/>
      <c r="C14" s="2" t="inlineStr"/>
      <c r="D14" s="2" t="inlineStr"/>
      <c r="E14" s="2" t="inlineStr"/>
      <c r="F14" s="2" t="inlineStr"/>
      <c r="G14" s="2" t="inlineStr"/>
      <c r="H14" s="2" t="inlineStr"/>
      <c r="I14" s="2">
        <f>SUM(B14:F14)</f>
        <v/>
      </c>
    </row>
    <row r="15">
      <c r="A15" s="2" t="inlineStr">
        <is>
          <t>T14</t>
        </is>
      </c>
      <c r="B15" s="2" t="inlineStr"/>
      <c r="C15" s="2" t="inlineStr"/>
      <c r="D15" s="2" t="inlineStr"/>
      <c r="E15" s="2" t="inlineStr"/>
      <c r="F15" s="2" t="inlineStr"/>
      <c r="G15" s="2" t="inlineStr"/>
      <c r="H15" s="2" t="inlineStr"/>
      <c r="I15" s="2">
        <f>SUM(B15:F15)</f>
        <v/>
      </c>
    </row>
    <row r="16">
      <c r="A16" s="2" t="inlineStr">
        <is>
          <t>T15</t>
        </is>
      </c>
      <c r="B16" s="2" t="inlineStr"/>
      <c r="C16" s="2" t="inlineStr"/>
      <c r="D16" s="2" t="inlineStr"/>
      <c r="E16" s="2" t="inlineStr"/>
      <c r="F16" s="2" t="inlineStr"/>
      <c r="G16" s="2" t="inlineStr"/>
      <c r="H16" s="2" t="inlineStr"/>
      <c r="I16" s="2">
        <f>SUM(B16:F16)</f>
        <v/>
      </c>
    </row>
    <row r="17">
      <c r="A17" s="2" t="inlineStr">
        <is>
          <t>T16</t>
        </is>
      </c>
      <c r="B17" s="2" t="inlineStr"/>
      <c r="C17" s="2" t="inlineStr"/>
      <c r="D17" s="2" t="inlineStr"/>
      <c r="E17" s="2" t="inlineStr"/>
      <c r="F17" s="2" t="inlineStr"/>
      <c r="G17" s="2" t="inlineStr"/>
      <c r="H17" s="2" t="inlineStr"/>
      <c r="I17" s="2">
        <f>SUM(B17:F17)</f>
        <v/>
      </c>
    </row>
    <row r="18">
      <c r="A18" s="2" t="inlineStr">
        <is>
          <t>T17</t>
        </is>
      </c>
      <c r="B18" s="2" t="inlineStr"/>
      <c r="C18" s="2" t="inlineStr"/>
      <c r="D18" s="2" t="inlineStr"/>
      <c r="E18" s="2" t="inlineStr"/>
      <c r="F18" s="2" t="inlineStr"/>
      <c r="G18" s="2" t="inlineStr"/>
      <c r="H18" s="2" t="inlineStr"/>
      <c r="I18" s="2">
        <f>SUM(B18:F18)</f>
        <v/>
      </c>
    </row>
    <row r="19">
      <c r="A19" s="2" t="inlineStr">
        <is>
          <t>T18</t>
        </is>
      </c>
      <c r="B19" s="2" t="inlineStr"/>
      <c r="C19" s="2" t="inlineStr"/>
      <c r="D19" s="2" t="inlineStr"/>
      <c r="E19" s="2" t="inlineStr"/>
      <c r="F19" s="2" t="inlineStr"/>
      <c r="G19" s="2" t="inlineStr"/>
      <c r="H19" s="2" t="inlineStr"/>
      <c r="I19" s="2">
        <f>SUM(B19:F19)</f>
        <v/>
      </c>
    </row>
    <row r="20">
      <c r="A20" s="2" t="inlineStr">
        <is>
          <t>T19</t>
        </is>
      </c>
      <c r="B20" s="2" t="inlineStr"/>
      <c r="C20" s="2" t="inlineStr"/>
      <c r="D20" s="2" t="inlineStr"/>
      <c r="E20" s="2" t="inlineStr"/>
      <c r="F20" s="2" t="inlineStr"/>
      <c r="G20" s="2" t="inlineStr"/>
      <c r="H20" s="2" t="inlineStr"/>
      <c r="I20" s="2">
        <f>SUM(B20:F20)</f>
        <v/>
      </c>
    </row>
    <row r="21">
      <c r="A21" s="2" t="inlineStr">
        <is>
          <t>T20</t>
        </is>
      </c>
      <c r="B21" s="2" t="inlineStr"/>
      <c r="C21" s="2" t="inlineStr"/>
      <c r="D21" s="2" t="inlineStr"/>
      <c r="E21" s="2" t="inlineStr"/>
      <c r="F21" s="2" t="inlineStr"/>
      <c r="G21" s="2" t="inlineStr"/>
      <c r="H21" s="2" t="inlineStr"/>
      <c r="I21" s="2">
        <f>SUM(B21:F21)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 customWidth="1" min="1" max="1"/>
    <col width="50" customWidth="1" min="2" max="2"/>
    <col width="19" customWidth="1" min="3" max="3"/>
    <col width="17" customWidth="1" min="4" max="4"/>
    <col width="16" customWidth="1" min="5" max="5"/>
    <col width="15" customWidth="1" min="6" max="6"/>
    <col width="21" customWidth="1" min="7" max="7"/>
    <col width="10" customWidth="1" min="8" max="8"/>
  </cols>
  <sheetData>
    <row r="1">
      <c r="A1" s="1" t="inlineStr">
        <is>
          <t>Test ID</t>
        </is>
      </c>
      <c r="B1" s="1" t="inlineStr">
        <is>
          <t>Required Skills</t>
        </is>
      </c>
      <c r="C1" s="1" t="inlineStr">
        <is>
          <t>AI Matched Skills</t>
        </is>
      </c>
      <c r="D1" s="1" t="inlineStr">
        <is>
          <t>Correct Matches</t>
        </is>
      </c>
      <c r="E1" s="1" t="inlineStr">
        <is>
          <t>Missing Skills</t>
        </is>
      </c>
      <c r="F1" s="1" t="inlineStr">
        <is>
          <t>False Matches</t>
        </is>
      </c>
      <c r="G1" s="1" t="inlineStr">
        <is>
          <t>AI Match Score /100</t>
        </is>
      </c>
      <c r="H1" s="1" t="inlineStr">
        <is>
          <t>Comments</t>
        </is>
      </c>
    </row>
    <row r="2">
      <c r="A2" s="2" t="inlineStr">
        <is>
          <t>T01</t>
        </is>
      </c>
      <c r="B2" s="2" t="inlineStr">
        <is>
          <t>['human resources management', 'talent acquisition', 'employment law compliance', 'employee relations', 'performance management', 'compensation and benefits', 'HRIS systems', 'HR analytics', 'organizational development', 'change management', 'project management', 'training and development', 'succession planning', 'business acumen', 'data analysis', 'Microsoft Office Suite', 'interpersonal skills', 'communication', 'influencing', 'problem solving', 'critical thinking', 'ethical judgment', 'confidentiality', 'teamwork']</t>
        </is>
      </c>
      <c r="C2" s="2" t="n">
        <v>100</v>
      </c>
      <c r="D2" s="2" t="inlineStr"/>
      <c r="E2" s="2" t="inlineStr"/>
      <c r="F2" s="2" t="inlineStr"/>
      <c r="G2" s="2" t="inlineStr"/>
      <c r="H2" s="2" t="inlineStr"/>
    </row>
    <row r="3">
      <c r="A3" s="2" t="inlineStr">
        <is>
          <t>T02</t>
        </is>
      </c>
      <c r="B3" s="2" t="inlineStr">
        <is>
          <t>['business development', 'sales', 'account management', 'strategic planning', 'market research', 'competitive analysis', 'contract negotiation', 'CRM systems', 'business intelligence tools', 'financial acumen', 'pricing strategies', 'proposal development', 'pipeline management', 'sales forecasting', 'partnership management', 'go-to-market strategy', 'leadership', 'team management', 'presentation skills', 'deal closing', 'relationship building', 'networking', 'communication', 'strategic thinking', 'influence', 'problem solving', 'resilience', 'work ethic', 'mentoring', 'collaboration']</t>
        </is>
      </c>
      <c r="C3" s="2" t="n">
        <v>0</v>
      </c>
      <c r="D3" s="2" t="inlineStr"/>
      <c r="E3" s="2" t="inlineStr"/>
      <c r="F3" s="2" t="inlineStr"/>
      <c r="G3" s="2" t="inlineStr"/>
      <c r="H3" s="2" t="inlineStr"/>
    </row>
    <row r="4">
      <c r="A4" s="2" t="inlineStr">
        <is>
          <t>T03</t>
        </is>
      </c>
      <c r="B4" s="2" t="inlineStr">
        <is>
          <t>['food safety', 'menu planning', 'inventory management', 'cost control', 'recipe development', 'staff training', 'cooking techniques', 'sanitation practices', 'customer service', 'p&amp;l management', 'catering', 'food presentation', 'nutritional standards', 'bar management', 'liquor regulations', 'equipment maintenance', 'financial transactions', 'employee scheduling', 'food preparation', 'special dietary needs', 'banquet management', 'leadership', 'communication', 'problem solving', 'teamwork', 'interpersonal skills', 'creativity', 'adaptability', 'time management', 'customer focus', 'conflict resolution', 'collaboration', 'attention to detail', 'positive attitude', 'initiative', 'organizational skills']</t>
        </is>
      </c>
      <c r="C4" s="2" t="n">
        <v>32.14</v>
      </c>
      <c r="D4" s="2" t="inlineStr"/>
      <c r="E4" s="2" t="inlineStr"/>
      <c r="F4" s="2" t="inlineStr"/>
      <c r="G4" s="2" t="inlineStr"/>
      <c r="H4" s="2" t="inlineStr"/>
    </row>
    <row r="5">
      <c r="A5" s="2" t="inlineStr">
        <is>
          <t>T04</t>
        </is>
      </c>
      <c r="B5" s="2" t="inlineStr">
        <is>
          <t>['human resources management', 'talent acquisition', 'employment law compliance', 'employee relations', 'performance management', 'compensation and benefits', 'HRIS systems', 'HR analytics', 'organizational development', 'change management', 'project management', 'training and development', 'succession planning', 'business acumen', 'data analysis', 'Microsoft Office Suite', 'interpersonal skills', 'communication', 'influencing', 'problem solving', 'critical thinking', 'ethical judgment', 'confidentiality', 'teamwork']</t>
        </is>
      </c>
      <c r="C5" s="2" t="n">
        <v>37.13</v>
      </c>
      <c r="D5" s="2" t="inlineStr"/>
      <c r="E5" s="2" t="inlineStr"/>
      <c r="F5" s="2" t="inlineStr"/>
      <c r="G5" s="2" t="inlineStr"/>
      <c r="H5" s="2" t="inlineStr"/>
    </row>
    <row r="6">
      <c r="A6" s="2" t="inlineStr">
        <is>
          <t>T05</t>
        </is>
      </c>
      <c r="B6" s="2" t="inlineStr">
        <is>
          <t>['personal training certification', 'fitness assessments', 'program design', 'exercise physiology', 'biomechanics', 'nutrition principles', 'injury prevention', 'sales strategies', 'business development', 'fitness management software', 'CPR/AED certification', 'first aid', 'budget management', 'client retention', 'body composition analysis', 'movement screening', 'cardiovascular testing', 'special populations knowledge', 'training software platforms', 'point-of-sale platforms', 'corrective exercise', 'sports performance training', 'nutrition coaching', 'group fitness instruction', 'marketing', 'leadership', 'communication', 'motivation', 'team management', 'organizational skills', 'time management', 'accountability', 'empathy', 'problem solving', 'client relationship building', 'conflict resolution', 'adaptability', 'passion for health and wellness']</t>
        </is>
      </c>
      <c r="C6" s="2" t="n">
        <v>11.77</v>
      </c>
      <c r="D6" s="2" t="inlineStr"/>
      <c r="E6" s="2" t="inlineStr"/>
      <c r="F6" s="2" t="inlineStr"/>
      <c r="G6" s="2" t="inlineStr"/>
      <c r="H6" s="2" t="inlineStr"/>
    </row>
    <row r="7">
      <c r="A7" s="2" t="inlineStr">
        <is>
          <t>T06</t>
        </is>
      </c>
      <c r="B7" s="2" t="inlineStr">
        <is>
          <t>['personal training certification', 'fitness assessments', 'program design', 'exercise physiology', 'biomechanics', 'nutrition principles', 'injury prevention', 'sales strategies', 'business development', 'fitness management software', 'CPR/AED certification', 'first aid', 'budget management', 'client retention', 'body composition analysis', 'movement screening', 'cardiovascular testing', 'special populations knowledge', 'training software platforms', 'point-of-sale platforms', 'corrective exercise', 'sports performance training', 'nutrition coaching', 'group fitness instruction', 'marketing', 'leadership', 'communication', 'motivation', 'team management', 'organizational skills', 'time management', 'accountability', 'empathy', 'problem solving', 'client relationship building', 'conflict resolution', 'adaptability', 'passion for health and wellness']</t>
        </is>
      </c>
      <c r="C7" s="2" t="n">
        <v>20.27</v>
      </c>
      <c r="D7" s="2" t="inlineStr"/>
      <c r="E7" s="2" t="inlineStr"/>
      <c r="F7" s="2" t="inlineStr"/>
      <c r="G7" s="2" t="inlineStr"/>
      <c r="H7" s="2" t="inlineStr"/>
    </row>
    <row r="8">
      <c r="A8" s="2" t="inlineStr">
        <is>
          <t>T07</t>
        </is>
      </c>
      <c r="B8" s="2" t="inlineStr">
        <is>
          <t>['human resources management', 'talent acquisition', 'employment law compliance', 'employee relations', 'performance management', 'compensation and benefits', 'HRIS systems', 'HR analytics', 'organizational development', 'change management', 'project management', 'training and development', 'succession planning', 'business acumen', 'data analysis', 'Microsoft Office Suite', 'interpersonal skills', 'communication', 'influencing', 'problem solving', 'critical thinking', 'ethical judgment', 'confidentiality', 'teamwork']</t>
        </is>
      </c>
      <c r="C8" s="2" t="n">
        <v>49.4</v>
      </c>
      <c r="D8" s="2" t="inlineStr"/>
      <c r="E8" s="2" t="inlineStr"/>
      <c r="F8" s="2" t="inlineStr"/>
      <c r="G8" s="2" t="inlineStr"/>
      <c r="H8" s="2" t="inlineStr"/>
    </row>
    <row r="9">
      <c r="A9" s="2" t="inlineStr">
        <is>
          <t>T08</t>
        </is>
      </c>
      <c r="B9" s="2" t="inlineStr">
        <is>
          <t>['IT infrastructure management', 'server management', 'network architecture', 'cloud platforms', 'cybersecurity', 'disaster recovery planning', 'virtualization technologies', 'infrastructure automation', 'database systems', 'project management', 'vendor management', 'budget management', 'IT policies and compliance', 'monitoring tools', 'technical certifications', 'leadership', 'strategic thinking', 'team management', 'communication', 'problem solving', 'analytical skills', 'mentoring', 'collaboration']</t>
        </is>
      </c>
      <c r="C9" s="2" t="n">
        <v>62.82</v>
      </c>
      <c r="D9" s="2" t="inlineStr"/>
      <c r="E9" s="2" t="inlineStr"/>
      <c r="F9" s="2" t="inlineStr"/>
      <c r="G9" s="2" t="inlineStr"/>
      <c r="H9" s="2" t="inlineStr"/>
    </row>
    <row r="10">
      <c r="A10" s="2" t="inlineStr">
        <is>
          <t>T09</t>
        </is>
      </c>
      <c r="B10" s="2" t="inlineStr">
        <is>
          <t>['financial reporting', 'accounting operations', 'GAAP', 'internal controls', 'audit coordination', 'budgeting', 'forecasting', 'compliance management', 'financial analysis', 'ERP systems', 'Excel', 'CPA certification', 'tax accounting', 'transfer pricing', 'multi-entity accounting', 'SOX compliance', 'risk management', 'financial modeling', 'cash flow management', 'financial statements preparation', 'statutory reporting', 'IPO preparation', 'SEC reporting', 'leadership', 'team management', 'strategic mindset', 'analytical skills', 'attention to detail', 'business acumen', 'communication', 'problem solving', 'mentorship', 'presentation skills', 'ability to work under pressure']</t>
        </is>
      </c>
      <c r="C10" s="2" t="n">
        <v>49.76</v>
      </c>
      <c r="D10" s="2" t="inlineStr"/>
      <c r="E10" s="2" t="inlineStr"/>
      <c r="F10" s="2" t="inlineStr"/>
      <c r="G10" s="2" t="inlineStr"/>
      <c r="H10" s="2" t="inlineStr"/>
    </row>
    <row r="11">
      <c r="A11" s="2" t="inlineStr">
        <is>
          <t>T10</t>
        </is>
      </c>
      <c r="B11" s="2" t="inlineStr">
        <is>
          <t>['structural engineering', 'project management', 'professional engineer license', 'structural engineer license', 'structural analysis', 'ETABS', 'SAP2000', 'RAM', 'SAFE', 'RISA', 'building codes', 'IBC', 'ASCE 7', 'ACI', 'AISC', 'AutoCAD', 'Revit', 'CAD', 'BIM software', 'structural design', 'construction administration', 'budget management', 'schedule management', 'technical report writing', 'sustainable design', 'LEED requirements', 'construction methods', 'cost estimating', 'value engineering', 'peer review', 'business development', 'leadership', 'client communication', 'team management', 'mentoring', 'collaboration', 'problem solving', 'technical guidance', 'relationship building', 'presentation skills']</t>
        </is>
      </c>
      <c r="C11" s="2" t="n">
        <v>20.55</v>
      </c>
      <c r="D11" s="2" t="inlineStr"/>
      <c r="E11" s="2" t="inlineStr"/>
      <c r="F11" s="2" t="inlineStr"/>
      <c r="G11" s="2" t="inlineStr"/>
      <c r="H11" s="2" t="inlineStr"/>
    </row>
    <row r="12">
      <c r="A12" s="2" t="inlineStr">
        <is>
          <t>T11</t>
        </is>
      </c>
      <c r="B12" s="2" t="inlineStr">
        <is>
          <t>['public relations', 'media relations', 'crisis communication', 'press release writing', 'media monitoring', 'PR campaign development', 'social media strategy', 'media coaching', 'digital PR', 'event coordination', 'content development', 'media measurement tools', 'executive communications', 'storytelling', 'journalism', 'media pitching', 'strategic thinking', 'communication', 'relationship building', 'presentation skills', 'flexibility', 'project management', 'creativity', 'problem solving']</t>
        </is>
      </c>
      <c r="C12" s="2" t="n">
        <v>89.48</v>
      </c>
      <c r="D12" s="2" t="inlineStr"/>
      <c r="E12" s="2" t="inlineStr"/>
      <c r="F12" s="2" t="inlineStr"/>
      <c r="G12" s="2" t="inlineStr"/>
      <c r="H12" s="2" t="inlineStr"/>
    </row>
    <row r="13">
      <c r="A13" s="2" t="inlineStr">
        <is>
          <t>T12</t>
        </is>
      </c>
      <c r="B13" s="2" t="inlineStr">
        <is>
          <t>['public relations', 'media relations', 'crisis communication', 'press release writing', 'media monitoring', 'PR campaign development', 'social media strategy', 'media coaching', 'digital PR', 'event coordination', 'content development', 'media measurement tools', 'executive communications', 'storytelling', 'journalism', 'media pitching', 'strategic thinking', 'communication', 'relationship building', 'presentation skills', 'flexibility', 'project management', 'creativity', 'problem solving']</t>
        </is>
      </c>
      <c r="C13" s="2" t="n">
        <v>56.81</v>
      </c>
      <c r="D13" s="2" t="inlineStr"/>
      <c r="E13" s="2" t="inlineStr"/>
      <c r="F13" s="2" t="inlineStr"/>
      <c r="G13" s="2" t="inlineStr"/>
      <c r="H13" s="2" t="inlineStr"/>
    </row>
    <row r="14">
      <c r="A14" s="2" t="inlineStr">
        <is>
          <t>T13</t>
        </is>
      </c>
      <c r="B14" s="2" t="inlineStr">
        <is>
          <t>['personal training certification', 'fitness assessments', 'program design', 'exercise physiology', 'biomechanics', 'nutrition principles', 'injury prevention', 'sales strategies', 'business development', 'fitness management software', 'CPR/AED certification', 'first aid', 'budget management', 'client retention', 'body composition analysis', 'movement screening', 'cardiovascular testing', 'special populations knowledge', 'training software platforms', 'point-of-sale platforms', 'corrective exercise', 'sports performance training', 'nutrition coaching', 'group fitness instruction', 'marketing', 'leadership', 'communication', 'motivation', 'team management', 'organizational skills', 'time management', 'accountability', 'empathy', 'problem solving', 'client relationship building', 'conflict resolution', 'adaptability', 'passion for health and wellness']</t>
        </is>
      </c>
      <c r="C14" s="2" t="n">
        <v>53.65</v>
      </c>
      <c r="D14" s="2" t="inlineStr"/>
      <c r="E14" s="2" t="inlineStr"/>
      <c r="F14" s="2" t="inlineStr"/>
      <c r="G14" s="2" t="inlineStr"/>
      <c r="H14" s="2" t="inlineStr"/>
    </row>
    <row r="15">
      <c r="A15" s="2" t="inlineStr">
        <is>
          <t>T14</t>
        </is>
      </c>
      <c r="B15" s="2" t="inlineStr">
        <is>
          <t>['structural engineering', 'project management', 'professional engineer license', 'structural engineer license', 'structural analysis', 'ETABS', 'SAP2000', 'RAM', 'SAFE', 'RISA', 'building codes', 'IBC', 'ASCE 7', 'ACI', 'AISC', 'AutoCAD', 'Revit', 'CAD', 'BIM software', 'structural design', 'construction administration', 'budget management', 'schedule management', 'technical report writing', 'sustainable design', 'LEED requirements', 'construction methods', 'cost estimating', 'value engineering', 'peer review', 'business development', 'leadership', 'client communication', 'team management', 'mentoring', 'collaboration', 'problem solving', 'technical guidance', 'relationship building', 'presentation skills']</t>
        </is>
      </c>
      <c r="C15" s="2" t="n">
        <v>20.55</v>
      </c>
      <c r="D15" s="2" t="inlineStr"/>
      <c r="E15" s="2" t="inlineStr"/>
      <c r="F15" s="2" t="inlineStr"/>
      <c r="G15" s="2" t="inlineStr"/>
      <c r="H15" s="2" t="inlineStr"/>
    </row>
    <row r="16">
      <c r="A16" s="2" t="inlineStr">
        <is>
          <t>T15</t>
        </is>
      </c>
      <c r="B16" s="2" t="inlineStr">
        <is>
          <t>['public relations', 'media relations', 'crisis communication', 'press release writing', 'media monitoring', 'PR campaign development', 'social media strategy', 'media coaching', 'digital PR', 'event coordination', 'content development', 'media measurement tools', 'executive communications', 'storytelling', 'journalism', 'media pitching', 'strategic thinking', 'communication', 'relationship building', 'presentation skills', 'flexibility', 'project management', 'creativity', 'problem solving']</t>
        </is>
      </c>
      <c r="C16" s="2" t="n">
        <v>60.02</v>
      </c>
      <c r="D16" s="2" t="inlineStr"/>
      <c r="E16" s="2" t="inlineStr"/>
      <c r="F16" s="2" t="inlineStr"/>
      <c r="G16" s="2" t="inlineStr"/>
      <c r="H16" s="2" t="inlineStr"/>
    </row>
    <row r="17">
      <c r="A17" s="2" t="inlineStr">
        <is>
          <t>T16</t>
        </is>
      </c>
      <c r="B17" s="2" t="inlineStr">
        <is>
          <t>['UX design', 'UI design', 'user research', 'wireframing', 'prototyping', 'Figma', 'Sketch', 'Adobe Creative Suite', 'InVision', 'Principle', 'design thinking', 'human-computer interaction', 'usability testing', 'front-end development', 'HTML', 'CSS', 'JavaScript', 'accessibility standards', 'WCAG', 'visual design', 'typography', 'color theory', 'composition', 'design systems', 'design analytics', 'A/B testing', 'communication', 'presentation', 'collaboration', 'problem solving', 'creativity', 'mentoring', 'time management', 'adaptability', 'stakeholder management']</t>
        </is>
      </c>
      <c r="C17" s="2" t="n">
        <v>15.87</v>
      </c>
      <c r="D17" s="2" t="inlineStr"/>
      <c r="E17" s="2" t="inlineStr"/>
      <c r="F17" s="2" t="inlineStr"/>
      <c r="G17" s="2" t="inlineStr"/>
      <c r="H17" s="2" t="inlineStr"/>
    </row>
    <row r="18">
      <c r="A18" s="2" t="inlineStr">
        <is>
          <t>T17</t>
        </is>
      </c>
      <c r="B18" s="2" t="n">
        <v/>
      </c>
      <c r="C18" s="2" t="n">
        <v/>
      </c>
      <c r="D18" s="2" t="inlineStr"/>
      <c r="E18" s="2" t="inlineStr"/>
      <c r="F18" s="2" t="inlineStr"/>
      <c r="G18" s="2" t="inlineStr"/>
      <c r="H18" s="2" t="inlineStr"/>
    </row>
    <row r="19">
      <c r="A19" s="2" t="inlineStr">
        <is>
          <t>T18</t>
        </is>
      </c>
      <c r="B19" s="2" t="inlineStr">
        <is>
          <t>['structural engineering', 'project management', 'professional engineer license', 'structural engineer license', 'structural analysis', 'ETABS', 'SAP2000', 'RAM', 'SAFE', 'RISA', 'building codes', 'IBC', 'ASCE 7', 'ACI', 'AISC', 'AutoCAD', 'Revit', 'CAD', 'BIM software', 'structural design', 'construction administration', 'budget management', 'schedule management', 'technical report writing', 'sustainable design', 'LEED requirements', 'construction methods', 'cost estimating', 'value engineering', 'peer review', 'business development', 'leadership', 'client communication', 'team management', 'mentoring', 'collaboration', 'problem solving', 'technical guidance', 'relationship building', 'presentation skills']</t>
        </is>
      </c>
      <c r="C19" s="2" t="n">
        <v>9.199999999999999</v>
      </c>
      <c r="D19" s="2" t="inlineStr"/>
      <c r="E19" s="2" t="inlineStr"/>
      <c r="F19" s="2" t="inlineStr"/>
      <c r="G19" s="2" t="inlineStr"/>
      <c r="H19" s="2" t="inlineStr"/>
    </row>
    <row r="20">
      <c r="A20" s="2" t="inlineStr">
        <is>
          <t>T19</t>
        </is>
      </c>
      <c r="B20" s="2" t="inlineStr">
        <is>
          <t>['social media platforms', 'content creation', 'social media management tools', 'data analytics', 'social media advertising', 'copywriting', 'graphic design', 'video editing', 'SEO', 'hashtag strategies', 'social media algorithms', 'community management', 'influencer marketing', 'user-generated content strategies', 'social listening', 'A/B testing', 'brand management', 'photography', 'videography', 'social media advertising tools', 'content calendar management', 'creativity', 'analytical skills', 'communication', 'strategic thinking', 'time management', 'organizational skills', 'adaptability', 'collaboration', 'customer service', 'problem solving', 'attention to detail']</t>
        </is>
      </c>
      <c r="C20" s="2" t="n">
        <v>55.8</v>
      </c>
      <c r="D20" s="2" t="inlineStr"/>
      <c r="E20" s="2" t="inlineStr"/>
      <c r="F20" s="2" t="inlineStr"/>
      <c r="G20" s="2" t="inlineStr"/>
      <c r="H20" s="2" t="inlineStr"/>
    </row>
    <row r="21">
      <c r="A21" s="2" t="inlineStr">
        <is>
          <t>T20</t>
        </is>
      </c>
      <c r="B21" s="2" t="inlineStr">
        <is>
          <t>['enterprise sales', 'B2B sales', 'consultative selling', 'sales cycle management', 'negotiation', 'CRM (Salesforce)', 'sales methodologies', 'account-based marketing', 'presentation skills', 'business acumen', 'contract management', 'technical knowledge translation', 'forecasting', 'market analysis', 'industry knowledge', 'relationship building', 'communication', 'strategic thinking', 'self-motivation', 'time management', 'resilience', 'persistence', 'entrepreneurial mindset', 'team collaboration']</t>
        </is>
      </c>
      <c r="C21" s="2" t="n">
        <v>11.85</v>
      </c>
      <c r="D21" s="2" t="inlineStr"/>
      <c r="E21" s="2" t="inlineStr"/>
      <c r="F21" s="2" t="inlineStr"/>
      <c r="G21" s="2" t="inlineStr"/>
      <c r="H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50" customWidth="1" min="2" max="2"/>
  </cols>
  <sheetData>
    <row r="1">
      <c r="A1" s="1" t="inlineStr">
        <is>
          <t>AI RESUME &amp; COVER LETTER GENERATOR</t>
        </is>
      </c>
      <c r="B1" s="1" t="n"/>
    </row>
    <row r="2">
      <c r="A2" s="2" t="inlineStr">
        <is>
          <t>Testing and Evaluation Summary</t>
        </is>
      </c>
      <c r="B2" s="2" t="n"/>
    </row>
    <row r="3">
      <c r="A3" s="2" t="inlineStr"/>
      <c r="B3" s="2" t="n"/>
    </row>
    <row r="4">
      <c r="A4" s="2" t="inlineStr">
        <is>
          <t>Metric</t>
        </is>
      </c>
      <c r="B4" s="2" t="inlineStr">
        <is>
          <t>Result</t>
        </is>
      </c>
    </row>
    <row r="5">
      <c r="A5" s="2" t="inlineStr">
        <is>
          <t>Number of Test Cases</t>
        </is>
      </c>
      <c r="B5" s="2" t="n">
        <v>20</v>
      </c>
    </row>
    <row r="6">
      <c r="A6" s="2" t="inlineStr">
        <is>
          <t>Average Resume Score /25</t>
        </is>
      </c>
      <c r="B6" s="2">
        <f>AVERAGE('Resume Evaluation'!I2:I21)</f>
        <v/>
      </c>
    </row>
    <row r="7">
      <c r="A7" s="2" t="inlineStr">
        <is>
          <t>Average Cover Letter Score /25</t>
        </is>
      </c>
      <c r="B7" s="2">
        <f>AVERAGE('Cover Letter Evaluation'!I2:I21)</f>
        <v/>
      </c>
    </row>
    <row r="8">
      <c r="A8" s="2" t="inlineStr">
        <is>
          <t>Average Resume Score /100</t>
        </is>
      </c>
      <c r="B8" s="2">
        <f>AVERAGE('Resume Evaluation'!I2:I21)*4</f>
        <v/>
      </c>
    </row>
    <row r="9">
      <c r="A9" s="2" t="inlineStr">
        <is>
          <t>Average Cover Letter Score /100</t>
        </is>
      </c>
      <c r="B9" s="2">
        <f>AVERAGE('Cover Letter Evaluation'!I2:I21)*4</f>
        <v/>
      </c>
    </row>
    <row r="10">
      <c r="A10" s="2" t="inlineStr">
        <is>
          <t>Hallucination Cases</t>
        </is>
      </c>
      <c r="B10" s="2">
        <f>COUNTIF('Resume Evaluation'!G2:G21,"Yes")+COUNTIF('Cover Letter Evaluation'!G2:G21,"Yes")</f>
        <v/>
      </c>
    </row>
    <row r="11">
      <c r="A11" s="2" t="inlineStr">
        <is>
          <t>Total Evaluation Scores</t>
        </is>
      </c>
      <c r="B11" s="2" t="n">
        <v>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50" customWidth="1" min="1" max="1"/>
  </cols>
  <sheetData>
    <row r="1">
      <c r="A1" s="1" t="inlineStr">
        <is>
          <t>EVALUATION CRITERIA</t>
        </is>
      </c>
    </row>
    <row r="2">
      <c r="A2" s="2" t="inlineStr"/>
    </row>
    <row r="3">
      <c r="A3" s="2" t="inlineStr">
        <is>
          <t>RESUME EVALUATION</t>
        </is>
      </c>
    </row>
    <row r="4">
      <c r="A4" s="2" t="inlineStr">
        <is>
          <t>Information Preservation</t>
        </is>
      </c>
    </row>
    <row r="5">
      <c r="A5" s="2" t="inlineStr">
        <is>
          <t>5 = All important information from the input is preserved</t>
        </is>
      </c>
    </row>
    <row r="6">
      <c r="A6" s="2" t="inlineStr">
        <is>
          <t>4 = Almost all important information is preserved</t>
        </is>
      </c>
    </row>
    <row r="7">
      <c r="A7" s="2" t="inlineStr">
        <is>
          <t>3 = Some information is missing</t>
        </is>
      </c>
    </row>
    <row r="8">
      <c r="A8" s="2" t="inlineStr">
        <is>
          <t>2 = Many important details are missing</t>
        </is>
      </c>
    </row>
    <row r="9">
      <c r="A9" s="2" t="inlineStr">
        <is>
          <t>1 = Very little important information is preserved</t>
        </is>
      </c>
    </row>
    <row r="10">
      <c r="A10" s="2" t="inlineStr"/>
    </row>
    <row r="11">
      <c r="A11" s="2" t="inlineStr">
        <is>
          <t>Completeness</t>
        </is>
      </c>
    </row>
    <row r="12">
      <c r="A12" s="2" t="inlineStr">
        <is>
          <t>5 = Complete resume with all relevant sections</t>
        </is>
      </c>
    </row>
    <row r="13">
      <c r="A13" s="2" t="inlineStr">
        <is>
          <t>4 = Minor information missing</t>
        </is>
      </c>
    </row>
    <row r="14">
      <c r="A14" s="2" t="inlineStr">
        <is>
          <t>3 = Some sections incomplete</t>
        </is>
      </c>
    </row>
    <row r="15">
      <c r="A15" s="2" t="inlineStr">
        <is>
          <t>2 = Several important sections missing</t>
        </is>
      </c>
    </row>
    <row r="16">
      <c r="A16" s="2" t="inlineStr">
        <is>
          <t>1 = Very incomplete</t>
        </is>
      </c>
    </row>
    <row r="17">
      <c r="A17" s="2" t="inlineStr"/>
    </row>
    <row r="18">
      <c r="A18" s="2" t="inlineStr">
        <is>
          <t>Accuracy</t>
        </is>
      </c>
    </row>
    <row r="19">
      <c r="A19" s="2" t="inlineStr">
        <is>
          <t>5 = No factual errors</t>
        </is>
      </c>
    </row>
    <row r="20">
      <c r="A20" s="2" t="inlineStr">
        <is>
          <t>4 = Minor errors</t>
        </is>
      </c>
    </row>
    <row r="21">
      <c r="A21" s="2" t="inlineStr">
        <is>
          <t>3 = Some noticeable errors</t>
        </is>
      </c>
    </row>
    <row r="22">
      <c r="A22" s="2" t="inlineStr">
        <is>
          <t>2 = Several errors</t>
        </is>
      </c>
    </row>
    <row r="23">
      <c r="A23" s="2" t="inlineStr">
        <is>
          <t>1 = Major factual errors</t>
        </is>
      </c>
    </row>
    <row r="24">
      <c r="A24" s="2" t="inlineStr"/>
    </row>
    <row r="25">
      <c r="A25" s="2" t="inlineStr">
        <is>
          <t>Job Relevance</t>
        </is>
      </c>
    </row>
    <row r="26">
      <c r="A26" s="2" t="inlineStr">
        <is>
          <t>5 = Highly tailored to the job description</t>
        </is>
      </c>
    </row>
    <row r="27">
      <c r="A27" s="2" t="inlineStr">
        <is>
          <t>4 = Mostly relevant</t>
        </is>
      </c>
    </row>
    <row r="28">
      <c r="A28" s="2" t="inlineStr">
        <is>
          <t>3 = Moderately relevant</t>
        </is>
      </c>
    </row>
    <row r="29">
      <c r="A29" s="2" t="inlineStr">
        <is>
          <t>2 = Limited relevance</t>
        </is>
      </c>
    </row>
    <row r="30">
      <c r="A30" s="2" t="inlineStr">
        <is>
          <t>1 = Not relevant</t>
        </is>
      </c>
    </row>
    <row r="31">
      <c r="A31" s="2" t="inlineStr"/>
    </row>
    <row r="32">
      <c r="A32" s="2" t="inlineStr">
        <is>
          <t>Professional Quality</t>
        </is>
      </c>
    </row>
    <row r="33">
      <c r="A33" s="2" t="inlineStr">
        <is>
          <t>5 = Excellent professional structure and language</t>
        </is>
      </c>
    </row>
    <row r="34">
      <c r="A34" s="2" t="inlineStr">
        <is>
          <t>4 = Good professional quality</t>
        </is>
      </c>
    </row>
    <row r="35">
      <c r="A35" s="2" t="inlineStr">
        <is>
          <t>3 = Acceptable</t>
        </is>
      </c>
    </row>
    <row r="36">
      <c r="A36" s="2" t="inlineStr">
        <is>
          <t>2 = Needs improvement</t>
        </is>
      </c>
    </row>
    <row r="37">
      <c r="A37" s="2" t="inlineStr">
        <is>
          <t>1 = Poor quality</t>
        </is>
      </c>
    </row>
    <row r="38">
      <c r="A38" s="2" t="inlineStr"/>
    </row>
    <row r="39">
      <c r="A39" s="2" t="inlineStr">
        <is>
          <t>HALLUCINATION</t>
        </is>
      </c>
    </row>
    <row r="40">
      <c r="A40" s="2" t="inlineStr">
        <is>
          <t>Yes = AI invented information not provided by the user</t>
        </is>
      </c>
    </row>
    <row r="41">
      <c r="A41" s="2" t="inlineStr">
        <is>
          <t>No = AI did not invent information</t>
        </is>
      </c>
    </row>
    <row r="42">
      <c r="A42" s="2" t="inlineStr"/>
    </row>
    <row r="43">
      <c r="A43" s="2" t="inlineStr">
        <is>
          <t>COVER LETTER EVALUATION</t>
        </is>
      </c>
    </row>
    <row r="44">
      <c r="A44" s="2" t="inlineStr">
        <is>
          <t>Personalization = How well the letter is customized to the candidate and job</t>
        </is>
      </c>
    </row>
    <row r="45">
      <c r="A45" s="2" t="inlineStr">
        <is>
          <t>Job Relevance = How well it addresses the target position</t>
        </is>
      </c>
    </row>
    <row r="46">
      <c r="A46" s="2" t="inlineStr">
        <is>
          <t>Accuracy = Whether facts about the candidate are correct</t>
        </is>
      </c>
    </row>
    <row r="47">
      <c r="A47" s="2" t="inlineStr">
        <is>
          <t>Professional Tone = Professional writing and appropriate language</t>
        </is>
      </c>
    </row>
    <row r="48">
      <c r="A48" s="2" t="inlineStr">
        <is>
          <t>Completeness = Contains the expected cover letter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2026-09-02T07:42:51Z</dcterms:created>
  <dcterms:modified xsi:type="dcterms:W3CDTF">2026-09-02T07:42:51Z</dcterms:modified>
</cp:coreProperties>
</file>